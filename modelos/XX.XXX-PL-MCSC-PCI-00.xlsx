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G:\.shortcut-targets-by-id\1ZO4-eCwJoiJLfnxA7nHWnmZMDnGU3lIY\1 - MODELOS\1 - ELABORAÇÃO DO PROJETO DE PREVENÇÃO CONTRA INCÊNDIO\"/>
    </mc:Choice>
  </mc:AlternateContent>
  <xr:revisionPtr revIDLastSave="0" documentId="13_ncr:1_{648D0564-4F55-43B0-AEA8-5118EAFD6F23}" xr6:coauthVersionLast="43" xr6:coauthVersionMax="47" xr10:uidLastSave="{00000000-0000-0000-0000-000000000000}"/>
  <bookViews>
    <workbookView xWindow="-108" yWindow="-108" windowWidth="23256" windowHeight="12456" firstSheet="1" activeTab="1" xr2:uid="{00000000-000D-0000-FFFF-FFFF00000000}"/>
  </bookViews>
  <sheets>
    <sheet name="NPT 011 - Anexo A - Tabela 1" sheetId="15" state="hidden" r:id="rId1"/>
    <sheet name="CÁLCULO DETERMINÍSTICO" sheetId="13" r:id="rId2"/>
    <sheet name="CÁLCULO PROBABILÍSTICO" sheetId="7" r:id="rId3"/>
    <sheet name="SAIDAS DE EMERGÊNCIA" sheetId="6" r:id="rId4"/>
    <sheet name="CLASSIFICAÇÃO" sheetId="8" r:id="rId5"/>
  </sheets>
  <definedNames>
    <definedName name="DadosExternos_1" localSheetId="0" hidden="1">'NPT 011 - Anexo A - Tabela 1'!#REF!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L27" i="6" l="1"/>
  <c r="I27" i="6"/>
  <c r="I24" i="6"/>
  <c r="L24" i="6"/>
  <c r="O24" i="6"/>
  <c r="I25" i="6"/>
  <c r="L25" i="6"/>
  <c r="O25" i="6"/>
  <c r="I26" i="6"/>
  <c r="L26" i="6"/>
  <c r="O26" i="6"/>
  <c r="O27" i="6"/>
  <c r="I28" i="6"/>
  <c r="L28" i="6"/>
  <c r="O28" i="6"/>
  <c r="I29" i="6"/>
  <c r="L29" i="6"/>
  <c r="O29" i="6"/>
  <c r="I30" i="6"/>
  <c r="L30" i="6"/>
  <c r="O30" i="6"/>
  <c r="F24" i="6"/>
  <c r="F25" i="6"/>
  <c r="F26" i="6"/>
  <c r="F27" i="6"/>
  <c r="F28" i="6"/>
  <c r="F29" i="6"/>
  <c r="F23" i="6"/>
  <c r="F18" i="6"/>
  <c r="F19" i="6"/>
  <c r="F20" i="6"/>
  <c r="F21" i="6"/>
  <c r="F17" i="6"/>
  <c r="G24" i="6"/>
  <c r="P24" i="6" s="1"/>
  <c r="Q24" i="6" s="1"/>
  <c r="G25" i="6"/>
  <c r="J25" i="6" s="1"/>
  <c r="K25" i="6" s="1"/>
  <c r="G26" i="6"/>
  <c r="M26" i="6" s="1"/>
  <c r="N26" i="6" s="1"/>
  <c r="G27" i="6"/>
  <c r="G28" i="6"/>
  <c r="P28" i="6" s="1"/>
  <c r="Q28" i="6" s="1"/>
  <c r="G29" i="6"/>
  <c r="G23" i="6"/>
  <c r="O23" i="6"/>
  <c r="L23" i="6"/>
  <c r="I23" i="6"/>
  <c r="I22" i="6"/>
  <c r="L22" i="6"/>
  <c r="O22" i="6"/>
  <c r="O18" i="6"/>
  <c r="O19" i="6"/>
  <c r="O20" i="6"/>
  <c r="O21" i="6"/>
  <c r="O17" i="6"/>
  <c r="L18" i="6"/>
  <c r="L19" i="6"/>
  <c r="L20" i="6"/>
  <c r="L21" i="6"/>
  <c r="L17" i="6"/>
  <c r="I18" i="6"/>
  <c r="I19" i="6"/>
  <c r="I20" i="6"/>
  <c r="I21" i="6"/>
  <c r="I17" i="6"/>
  <c r="J29" i="6" l="1"/>
  <c r="K29" i="6" s="1"/>
  <c r="P26" i="6"/>
  <c r="Q26" i="6" s="1"/>
  <c r="M24" i="6"/>
  <c r="N24" i="6" s="1"/>
  <c r="P29" i="6"/>
  <c r="Q29" i="6" s="1"/>
  <c r="J26" i="6"/>
  <c r="K26" i="6" s="1"/>
  <c r="J23" i="6"/>
  <c r="K23" i="6" s="1"/>
  <c r="P27" i="6"/>
  <c r="Q27" i="6" s="1"/>
  <c r="P25" i="6"/>
  <c r="Q25" i="6" s="1"/>
  <c r="M25" i="6"/>
  <c r="N25" i="6" s="1"/>
  <c r="J24" i="6"/>
  <c r="K24" i="6" s="1"/>
  <c r="M29" i="6"/>
  <c r="N29" i="6" s="1"/>
  <c r="M28" i="6"/>
  <c r="N28" i="6" s="1"/>
  <c r="J28" i="6"/>
  <c r="K28" i="6" s="1"/>
  <c r="J27" i="6"/>
  <c r="K27" i="6" s="1"/>
  <c r="M27" i="6"/>
  <c r="N27" i="6" s="1"/>
  <c r="M23" i="6"/>
  <c r="N23" i="6" s="1"/>
  <c r="P23" i="6"/>
  <c r="Q23" i="6" s="1"/>
  <c r="G30" i="6"/>
  <c r="K7" i="7"/>
  <c r="M30" i="6" l="1"/>
  <c r="N30" i="6" s="1"/>
  <c r="J30" i="6"/>
  <c r="K30" i="6" s="1"/>
  <c r="P30" i="6"/>
  <c r="Q30" i="6" s="1"/>
  <c r="F7" i="13"/>
  <c r="F6" i="13"/>
  <c r="K10" i="7" l="1"/>
  <c r="K9" i="7"/>
  <c r="K8" i="7"/>
  <c r="K6" i="7"/>
  <c r="D11" i="7"/>
  <c r="F11" i="7" s="1"/>
  <c r="F9" i="7"/>
  <c r="D20" i="6" s="1"/>
  <c r="G20" i="6" s="1"/>
  <c r="F10" i="7"/>
  <c r="D21" i="6" s="1"/>
  <c r="G21" i="6" s="1"/>
  <c r="F7" i="7"/>
  <c r="G6" i="13" s="1"/>
  <c r="F8" i="7"/>
  <c r="D19" i="6" s="1"/>
  <c r="G19" i="6" s="1"/>
  <c r="F6" i="7"/>
  <c r="P21" i="6" l="1"/>
  <c r="J21" i="6"/>
  <c r="M21" i="6"/>
  <c r="N21" i="6" s="1"/>
  <c r="D18" i="6"/>
  <c r="G18" i="6" s="1"/>
  <c r="H6" i="13"/>
  <c r="H7" i="7" s="1"/>
  <c r="H11" i="7" s="1"/>
  <c r="P20" i="6"/>
  <c r="Q20" i="6" s="1"/>
  <c r="M20" i="6"/>
  <c r="N20" i="6" s="1"/>
  <c r="J20" i="6"/>
  <c r="K20" i="6" s="1"/>
  <c r="G7" i="13"/>
  <c r="H7" i="13" s="1"/>
  <c r="H6" i="7" s="1"/>
  <c r="D17" i="6"/>
  <c r="G17" i="6" s="1"/>
  <c r="M19" i="6"/>
  <c r="N19" i="6" s="1"/>
  <c r="P19" i="6"/>
  <c r="Q19" i="6" s="1"/>
  <c r="J19" i="6"/>
  <c r="K19" i="6" s="1"/>
  <c r="K21" i="6"/>
  <c r="Q21" i="6"/>
  <c r="P18" i="6" l="1"/>
  <c r="Q18" i="6" s="1"/>
  <c r="J18" i="6"/>
  <c r="K18" i="6" s="1"/>
  <c r="M18" i="6"/>
  <c r="N18" i="6" s="1"/>
  <c r="G22" i="6"/>
  <c r="G31" i="6" s="1"/>
  <c r="P17" i="6"/>
  <c r="J17" i="6"/>
  <c r="K17" i="6" s="1"/>
  <c r="M17" i="6"/>
  <c r="J22" i="6" l="1"/>
  <c r="K22" i="6" s="1"/>
  <c r="P22" i="6"/>
  <c r="Q22" i="6" s="1"/>
  <c r="M22" i="6"/>
  <c r="N22" i="6" s="1"/>
  <c r="Q17" i="6"/>
  <c r="N1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FBDEBE-422A-4FBC-B09E-FF304624B02A}" keepAlive="1" name="Consulta - Table015 (Page 35)" description="Ligação à consulta 'Table015 (Page 35)' no livro." type="5" refreshedVersion="0" background="1">
    <dbPr connection="Provider=Microsoft.Mashup.OleDb.1;Data Source=$Workbook$;Location=&quot;Table015 (Page 35)&quot;;Extended Properties=&quot;&quot;" command="SELECT * FROM [Table015 (Page 35)]"/>
  </connection>
  <connection id="2" xr16:uid="{9C97F56F-3D91-4F31-80B8-9A3E3A9D147F}" keepAlive="1" name="Consulta - Table016 (Page 37)" description="Ligação à consulta 'Table016 (Page 37)' no livro." type="5" refreshedVersion="0" background="1">
    <dbPr connection="Provider=Microsoft.Mashup.OleDb.1;Data Source=$Workbook$;Location=&quot;Table016 (Page 37)&quot;;Extended Properties=&quot;&quot;" command="SELECT * FROM [Table016 (Page 37)]"/>
  </connection>
</connections>
</file>

<file path=xl/sharedStrings.xml><?xml version="1.0" encoding="utf-8"?>
<sst xmlns="http://schemas.openxmlformats.org/spreadsheetml/2006/main" count="409" uniqueCount="212">
  <si>
    <t>Ocupação</t>
  </si>
  <si>
    <t>J-4</t>
  </si>
  <si>
    <t>Carga de incêndio (MJ/m ²)</t>
  </si>
  <si>
    <t>Descrição</t>
  </si>
  <si>
    <t>Tabela utilizada no dimensionamento</t>
  </si>
  <si>
    <t>Área computada (m²)</t>
  </si>
  <si>
    <t>Distância máxima a ser percorrida - Extintores (m)</t>
  </si>
  <si>
    <t>Tipo de Hidrante</t>
  </si>
  <si>
    <t>DADOS DA EDIFICAÇÃO</t>
  </si>
  <si>
    <t>POPULAÇÃO</t>
  </si>
  <si>
    <t xml:space="preserve">SAÍDAS DE EMERGÊNCIA </t>
  </si>
  <si>
    <t>Acessos e descargas</t>
  </si>
  <si>
    <t>Escadas de rampas</t>
  </si>
  <si>
    <t>Portas</t>
  </si>
  <si>
    <t>Área</t>
  </si>
  <si>
    <t>Indice de Cálculo da População</t>
  </si>
  <si>
    <t>População Total</t>
  </si>
  <si>
    <t>Nº U.P.</t>
  </si>
  <si>
    <t>Área Existente (m²)</t>
  </si>
  <si>
    <t>Área Ampliada (m²)</t>
  </si>
  <si>
    <t>TOTAL</t>
  </si>
  <si>
    <t>Distância máxima a percorrer (m)</t>
  </si>
  <si>
    <t>Alarme de Incêndio</t>
  </si>
  <si>
    <t>Extintores</t>
  </si>
  <si>
    <t>Local</t>
  </si>
  <si>
    <t>Depósito</t>
  </si>
  <si>
    <t>A-2</t>
  </si>
  <si>
    <t>C-2</t>
  </si>
  <si>
    <t>Medidas Necessárias</t>
  </si>
  <si>
    <t>Segurança Estrutural contra Incêndio</t>
  </si>
  <si>
    <t>Saídas de Emergência</t>
  </si>
  <si>
    <t>Plano de Emergência</t>
  </si>
  <si>
    <t>Brigada de Incêndio</t>
  </si>
  <si>
    <t>Sinalização de Emergência</t>
  </si>
  <si>
    <t>Grupo</t>
  </si>
  <si>
    <t>Tipo</t>
  </si>
  <si>
    <t>Classificação</t>
  </si>
  <si>
    <t>Classe de uso/ocupação</t>
  </si>
  <si>
    <t>Divisão</t>
  </si>
  <si>
    <t>J</t>
  </si>
  <si>
    <t>Estocagem de Pinus</t>
  </si>
  <si>
    <t>Estocagem de Borracha</t>
  </si>
  <si>
    <t>Produção</t>
  </si>
  <si>
    <t>D</t>
  </si>
  <si>
    <t>I-2</t>
  </si>
  <si>
    <t>Acesso de Viatura na Edificação</t>
  </si>
  <si>
    <t>Compartimentação Horizontal</t>
  </si>
  <si>
    <t>Controle de Materiais e Acabamento</t>
  </si>
  <si>
    <t>Iluminação de Emergência</t>
  </si>
  <si>
    <t>Hidrante</t>
  </si>
  <si>
    <t>J-3</t>
  </si>
  <si>
    <t>Oficina</t>
  </si>
  <si>
    <t>Refeitório</t>
  </si>
  <si>
    <t>F-8</t>
  </si>
  <si>
    <t>G-4</t>
  </si>
  <si>
    <t>Tabela 5</t>
  </si>
  <si>
    <t>D-1</t>
  </si>
  <si>
    <t>Sem Hidrante</t>
  </si>
  <si>
    <t>F</t>
  </si>
  <si>
    <t>G</t>
  </si>
  <si>
    <t>I</t>
  </si>
  <si>
    <t>Serviço Profissional</t>
  </si>
  <si>
    <t>Local para prestação de serviço profissional ou condução de negócios</t>
  </si>
  <si>
    <t>Local de Reunião de Público</t>
  </si>
  <si>
    <t>Local para refeição</t>
  </si>
  <si>
    <t>Serviço automotivo e assemelhados</t>
  </si>
  <si>
    <t>Serviço de conservação, manutenção e reparos</t>
  </si>
  <si>
    <t>Industrial</t>
  </si>
  <si>
    <t>Locais onde as atividades exercidas e os materiais utilizados apresentam médio potencial de incêndio (carga de incêndio acima de 300 MJ/m² e até 1200 MJ/m²)</t>
  </si>
  <si>
    <t>Depósitos com carga de incêndio acima de 300 MJ/m² até 1200 MJ/m²)</t>
  </si>
  <si>
    <t>Tipo do material existente na edificação por compartimento</t>
  </si>
  <si>
    <t>Massa total de cada material                          Mi - (kg)</t>
  </si>
  <si>
    <t>Potencial calorífico específico                    Hi - (MJ/kg)</t>
  </si>
  <si>
    <t>Potencial calorífico por material                   Mi x Hi = qi (MJ)</t>
  </si>
  <si>
    <t>Borracha em tiras</t>
  </si>
  <si>
    <t>Madeira</t>
  </si>
  <si>
    <t>-</t>
  </si>
  <si>
    <t>1º Pavimento</t>
  </si>
  <si>
    <t>Capacidade da U. de passagem</t>
  </si>
  <si>
    <t>Acessos e
descargas</t>
  </si>
  <si>
    <t>Escadas e
rampas (B)</t>
  </si>
  <si>
    <t>A</t>
  </si>
  <si>
    <t>A-1, A-2</t>
  </si>
  <si>
    <t>60</t>
  </si>
  <si>
    <t>45</t>
  </si>
  <si>
    <t>100</t>
  </si>
  <si>
    <t>A-3</t>
  </si>
  <si>
    <t>B</t>
  </si>
  <si>
    <t>Uma pessoa por 15,0 m² de área</t>
  </si>
  <si>
    <t>C</t>
  </si>
  <si>
    <t>D-4</t>
  </si>
  <si>
    <t>Uma pessoa por 7,0 m² de área</t>
  </si>
  <si>
    <t>75</t>
  </si>
  <si>
    <t>E</t>
  </si>
  <si>
    <t>E-1 a E-4</t>
  </si>
  <si>
    <t>Uma pessoa por 1,50 m² de área de sala de aula</t>
  </si>
  <si>
    <t>E-5, E-6</t>
  </si>
  <si>
    <t>30</t>
  </si>
  <si>
    <t>22</t>
  </si>
  <si>
    <t>F-1, F-10</t>
  </si>
  <si>
    <t>Uma pessoa por 3,0 m² de área</t>
  </si>
  <si>
    <t>F-2, F-5, F8</t>
  </si>
  <si>
    <t>F-3</t>
  </si>
  <si>
    <t>F-4</t>
  </si>
  <si>
    <t>G-1, G-2, G3</t>
  </si>
  <si>
    <t>Uma pessoa por 40 vagas de veículo</t>
  </si>
  <si>
    <t>G-4, G-5</t>
  </si>
  <si>
    <t>Uma pessoa por 20,0 m² de área</t>
  </si>
  <si>
    <t>H</t>
  </si>
  <si>
    <t>H-1, H-6</t>
  </si>
  <si>
    <t>H-2</t>
  </si>
  <si>
    <t>H-3</t>
  </si>
  <si>
    <t>H-4, H-5</t>
  </si>
  <si>
    <t>Uma pessoa por 10,0 m² de área</t>
  </si>
  <si>
    <t>L</t>
  </si>
  <si>
    <t>L-1</t>
  </si>
  <si>
    <t>L-2, L-3</t>
  </si>
  <si>
    <t>M</t>
  </si>
  <si>
    <t>M-1</t>
  </si>
  <si>
    <t>M-3, M-5</t>
  </si>
  <si>
    <t>M-4</t>
  </si>
  <si>
    <t>Uma pessoa por 4,0 m² de área</t>
  </si>
  <si>
    <t>NOTAS: (A) Os parâmetros dados nesta Tabela são os mínimos aceitáveis para o cálculo da população (ver 5.3);</t>
  </si>
  <si>
    <r>
      <t xml:space="preserve">População </t>
    </r>
    <r>
      <rPr>
        <vertAlign val="superscript"/>
        <sz val="11"/>
        <color theme="1"/>
        <rFont val="Calibri"/>
        <family val="2"/>
        <scheme val="minor"/>
      </rPr>
      <t>(A)</t>
    </r>
  </si>
  <si>
    <r>
      <t xml:space="preserve">Duas pessoas por dormitório </t>
    </r>
    <r>
      <rPr>
        <vertAlign val="superscript"/>
        <sz val="11"/>
        <color theme="1"/>
        <rFont val="Calibri"/>
        <family val="2"/>
        <scheme val="minor"/>
      </rPr>
      <t>(C)</t>
    </r>
  </si>
  <si>
    <r>
      <t xml:space="preserve">Duas pessoas por dormitório e uma pessoa por 4,0 m² de área de alojamento </t>
    </r>
    <r>
      <rPr>
        <vertAlign val="superscript"/>
        <sz val="11"/>
        <color theme="1"/>
        <rFont val="Calibri"/>
        <family val="2"/>
        <scheme val="minor"/>
      </rPr>
      <t>(D)</t>
    </r>
  </si>
  <si>
    <r>
      <t xml:space="preserve">Uma pessoa por 5,0 m² de área </t>
    </r>
    <r>
      <rPr>
        <vertAlign val="superscript"/>
        <sz val="11"/>
        <color theme="1"/>
        <rFont val="Calibri"/>
        <family val="2"/>
        <scheme val="minor"/>
      </rPr>
      <t>(I) (L)</t>
    </r>
  </si>
  <si>
    <r>
      <t xml:space="preserve">Uma pessoa por 1,0 m² de área </t>
    </r>
    <r>
      <rPr>
        <vertAlign val="superscript"/>
        <sz val="11"/>
        <color theme="1"/>
        <rFont val="Calibri"/>
        <family val="2"/>
        <scheme val="minor"/>
      </rPr>
      <t>(O)</t>
    </r>
  </si>
  <si>
    <t>Duas pessoas por 1,0 m² de área (1:0,5 m2)</t>
  </si>
  <si>
    <t>(B) As capacidades das unidades de passagem em escadas e rampas estendem-se para lanços retos e saída descendente. Nos demais casos devem sofrer redução como abaixo especificado. Estas percentagens de redução são cumulativas, quando for o caso:</t>
  </si>
  <si>
    <t>a) lanços ascendentes de escada com degraus até 17,0 cm de altura: redução de 10%</t>
  </si>
  <si>
    <t>b) lanços ascendentes de escadas com degraus até 17,5 cm de altura: redução de 15%</t>
  </si>
  <si>
    <t>c) lanços ascendentes de escadas com degraus até 18,0 cm de altura: redução de 20%</t>
  </si>
  <si>
    <t>d) rampas ascendentes, declividade até 10%: redução de 1% por grau percentual de inclinação (1% a 10%)</t>
  </si>
  <si>
    <t>e) rampas ascendentes de mais de 10% (máximo: 12,5%): redução de 20%</t>
  </si>
  <si>
    <t xml:space="preserve">(C) Em apartamentos de até dois dormitórios, a sala deve ser considerada como dormitório. Em apartamentos maiores (três e mais dormitórios), as salas de costura, gabinetes e outras dependências que possam ser usadas como dormitórios (inclusive para empregadas) são considerados como tais. Em apartamentos mínimos, sem divisões em planta, considera-se uma pessoa para cada 6,0 m² de área de pavimento. As áreas de lazer das edificações residenciais (salões de festa, sala de jogos, playground, churrasqueira, dentre outros) são consideradas subsidiárias do Grupo A. A população desses ambientes deverá ser calculada em função do uso
(divisão) a que se destina; </t>
  </si>
  <si>
    <t>(D) Alojamento = dormitório coletivo, com mais de 10,0 m²;</t>
  </si>
  <si>
    <t>(E) Por ”área” entende-se a “área do pavimento” que abriga a população em foco; quando discriminado o tipo de área (por ex.: área do alojamento) é a área útil interna da dependência em questão;</t>
  </si>
  <si>
    <t>(F) As cozinhas e suas áreas de apoio têm sua ocupação admitida como no grupo D, isto é, uma pessoa por 7,0 m² de área;</t>
  </si>
  <si>
    <t>(G) Em hospitais e clínicas com internamento (H-3), que tenham pacientes ambulatoriais, acresce-se à área calculada por leito, a área de pavimento correspondente ao ambulatório, na base de uma pessoa por 7,0 m²;</t>
  </si>
  <si>
    <t>(H) O símbolo “+” indica necessidade de consultar normas e regulamentos específicos (não cobertos por esta NPT);</t>
  </si>
  <si>
    <t>(I) A parte de atendimento ao público de comércio atacadista deve ser considerada como do grupo C;</t>
  </si>
  <si>
    <t>(J) Esta tabela se aplica a todas as edificações, exceto para os locais destinados a divisão F-3 e F-7, com população total superior a 2.500 pessoas, em que deve ser consultada a NPT 012 vigente;</t>
  </si>
  <si>
    <t>(K) Para ocupações do tipo Call-center, o cálculo da população é de uma pessoa por 1,5 m² de área;</t>
  </si>
  <si>
    <t>(L) Para a área de lojas de shoppings centers, galerias comerciais e similares adota-se no cálculo uma pessoa p or 7,0 m² de área;</t>
  </si>
  <si>
    <t>(M) Para o cálculo da população será admitido o quantitativo dos assentos apresentados em PTPID ou Memorial Simplificado da edificação, exceto para divisão F-6*. Esta nota é aplicável somente para dim ensionamento das saídas de emergência, não sobrepondo as exigências contidas na norma específica de projetos;</t>
  </si>
  <si>
    <t>(N) Para a classificação das ocupações (grupos e divisões), consultar a Tabela 1 do Código de Segurança Contra Incêndios e Pânico do Corpo de Bombeiros da Polícia Militar do Paraná;</t>
  </si>
  <si>
    <t>(O) Para os locais que possuam assento do tipo banco (assento comprido, para várias pessoas, com ou sem encosto) o parâmetro para cálculo de população é de 1 pessoa por 0,50 m linear, mediante apresentação de leiaute;</t>
  </si>
  <si>
    <t>(P) Para a área de palcos adota-se o cálculo de uma pessoa por 7 m² de área desde que o ambiente a ser aprovado não tenha a ocupação/divisão modificada para outros fins;</t>
  </si>
  <si>
    <t>(Q) O espaço destinado exclusivamente para a prática desportiva (quadra de tênis, piscina, cancha de bocha, pista de boliche, estandes de tiro, pistas de jóquei, dentre outros) poderá ter sua população reduzida em função de seus praticantes, desde que não seja utilizado para outros fins, constando em Memorial Simplificado ou PTPID da referida edificação ou área de risco a seguinte nota: “Espaço destinado para uso exclusivo de prática desportiva, população de XX pessoas”.</t>
  </si>
  <si>
    <t xml:space="preserve"> </t>
  </si>
  <si>
    <r>
      <t xml:space="preserve">D-1 </t>
    </r>
    <r>
      <rPr>
        <vertAlign val="superscript"/>
        <sz val="11"/>
        <color theme="1"/>
        <rFont val="Calibri"/>
        <family val="2"/>
        <scheme val="minor"/>
      </rPr>
      <t>(K)</t>
    </r>
    <r>
      <rPr>
        <sz val="11"/>
        <color theme="1"/>
        <rFont val="Calibri"/>
        <family val="2"/>
        <scheme val="minor"/>
      </rPr>
      <t>, D-2, D-3, D-4</t>
    </r>
  </si>
  <si>
    <r>
      <t xml:space="preserve">Divisão </t>
    </r>
    <r>
      <rPr>
        <vertAlign val="superscript"/>
        <sz val="11"/>
        <color theme="1"/>
        <rFont val="Calibri"/>
        <family val="2"/>
        <scheme val="minor"/>
      </rPr>
      <t>(E) (F) (M)* (N) (P) (Q)</t>
    </r>
  </si>
  <si>
    <r>
      <t>F-3</t>
    </r>
    <r>
      <rPr>
        <vertAlign val="superscript"/>
        <sz val="11"/>
        <color theme="1"/>
        <rFont val="Calibri"/>
        <family val="2"/>
        <scheme val="minor"/>
      </rPr>
      <t>(J) (O)</t>
    </r>
    <r>
      <rPr>
        <sz val="11"/>
        <color theme="1"/>
        <rFont val="Calibri"/>
        <family val="2"/>
        <scheme val="minor"/>
      </rPr>
      <t>, F-6</t>
    </r>
    <r>
      <rPr>
        <vertAlign val="superscript"/>
        <sz val="11"/>
        <color theme="1"/>
        <rFont val="Calibri"/>
        <family val="2"/>
        <scheme val="minor"/>
      </rPr>
      <t>(O)</t>
    </r>
    <r>
      <rPr>
        <sz val="11"/>
        <color theme="1"/>
        <rFont val="Calibri"/>
        <family val="2"/>
        <scheme val="minor"/>
      </rPr>
      <t>, F-7</t>
    </r>
    <r>
      <rPr>
        <vertAlign val="superscript"/>
        <sz val="11"/>
        <color theme="1"/>
        <rFont val="Calibri"/>
        <family val="2"/>
        <scheme val="minor"/>
      </rPr>
      <t>(J) (O)</t>
    </r>
    <r>
      <rPr>
        <sz val="11"/>
        <color theme="1"/>
        <rFont val="Calibri"/>
        <family val="2"/>
        <scheme val="minor"/>
      </rPr>
      <t>, F-9</t>
    </r>
    <r>
      <rPr>
        <vertAlign val="superscript"/>
        <sz val="11"/>
        <color theme="1"/>
        <rFont val="Calibri"/>
        <family val="2"/>
        <scheme val="minor"/>
      </rPr>
      <t>(O)</t>
    </r>
    <r>
      <rPr>
        <sz val="11"/>
        <color theme="1"/>
        <rFont val="Calibri"/>
        <family val="2"/>
        <scheme val="minor"/>
      </rPr>
      <t>,F-11</t>
    </r>
    <r>
      <rPr>
        <vertAlign val="superscript"/>
        <sz val="11"/>
        <color theme="1"/>
        <rFont val="Calibri"/>
        <family val="2"/>
        <scheme val="minor"/>
      </rPr>
      <t>(O)</t>
    </r>
  </si>
  <si>
    <r>
      <t xml:space="preserve">Uma pessoa e meia por leito + uma pessoa por 7,0 m² de área de ambulatório </t>
    </r>
    <r>
      <rPr>
        <vertAlign val="superscript"/>
        <sz val="11"/>
        <color theme="1"/>
        <rFont val="Calibri"/>
        <family val="2"/>
        <scheme val="minor"/>
      </rPr>
      <t>(G)</t>
    </r>
  </si>
  <si>
    <r>
      <t xml:space="preserve">Uma pessoa por 30,0 m² de área </t>
    </r>
    <r>
      <rPr>
        <vertAlign val="superscript"/>
        <sz val="11"/>
        <color theme="1"/>
        <rFont val="Calibri"/>
        <family val="2"/>
        <scheme val="minor"/>
      </rPr>
      <t>(I)</t>
    </r>
  </si>
  <si>
    <t xml:space="preserve"> + (H)</t>
  </si>
  <si>
    <t>A-1</t>
  </si>
  <si>
    <t>B-1</t>
  </si>
  <si>
    <t>B-2</t>
  </si>
  <si>
    <t>C-1</t>
  </si>
  <si>
    <t>C-3</t>
  </si>
  <si>
    <t>D-2</t>
  </si>
  <si>
    <t>D-3</t>
  </si>
  <si>
    <t>E-1</t>
  </si>
  <si>
    <t>E-2</t>
  </si>
  <si>
    <t>E-3</t>
  </si>
  <si>
    <t>E-4</t>
  </si>
  <si>
    <t>E-5</t>
  </si>
  <si>
    <t>E-6</t>
  </si>
  <si>
    <t>F-1</t>
  </si>
  <si>
    <t>F-2</t>
  </si>
  <si>
    <t>F-5</t>
  </si>
  <si>
    <t>F-6</t>
  </si>
  <si>
    <t>F-7</t>
  </si>
  <si>
    <t>F-9</t>
  </si>
  <si>
    <t>F-10</t>
  </si>
  <si>
    <t>F-11</t>
  </si>
  <si>
    <t>G-1</t>
  </si>
  <si>
    <t>G-2</t>
  </si>
  <si>
    <t>G-3</t>
  </si>
  <si>
    <t>G-5</t>
  </si>
  <si>
    <t>H-1</t>
  </si>
  <si>
    <t>H-6</t>
  </si>
  <si>
    <r>
      <t xml:space="preserve">Duas pessoas por dormitório </t>
    </r>
    <r>
      <rPr>
        <vertAlign val="superscript"/>
        <sz val="11"/>
        <color theme="1"/>
        <rFont val="Calibri"/>
        <family val="2"/>
        <scheme val="minor"/>
      </rPr>
      <t>(C)</t>
    </r>
    <r>
      <rPr>
        <sz val="11"/>
        <color theme="1"/>
        <rFont val="Calibri"/>
        <family val="2"/>
        <scheme val="minor"/>
      </rPr>
      <t xml:space="preserve"> e uma pessoa por 4,0 m² de área de alojamento</t>
    </r>
  </si>
  <si>
    <t>H-4</t>
  </si>
  <si>
    <t>H-5</t>
  </si>
  <si>
    <t>I-1</t>
  </si>
  <si>
    <t>I-3</t>
  </si>
  <si>
    <t>J-1</t>
  </si>
  <si>
    <t>J-2</t>
  </si>
  <si>
    <t>L-2</t>
  </si>
  <si>
    <t>L-3</t>
  </si>
  <si>
    <t>M-3</t>
  </si>
  <si>
    <t>M-5</t>
  </si>
  <si>
    <t>População</t>
  </si>
  <si>
    <t>Cap. da U.P.</t>
  </si>
  <si>
    <t>Larg. Min. (m)</t>
  </si>
  <si>
    <t xml:space="preserve">OBS2: A OCUPAÇÃO PARA O CÁLCULO DA POPULAÇÃO NÃO PRECISA SER A MESMA OCUPAÇÃO PARA O CÁLCULO DA CARGA DE INCÊNDIO. POR EXEMPLO, SE UMA LOJA TIVER UM DEPÓSTO PEQUENO NA MESMA EDIFICAÇAO, PARA A CARGA DE INCÊNDIO, O DEPÓSITO SERÁ UMA OCUPAÇÃO SUBSIDIÁRIA E TERÁ A MESMA CARGA DE INCÊNDIO A LOJA (C-2). </t>
  </si>
  <si>
    <t>OBS3: PARA O CÁLCULO DAS SAÍDAS DE EMERGÊNCIA, TERÁ OCUPAÇÃO DE DE DEPÓSITO (J-4). O CÁLCULO DA POPULAÇÃO DEVERÁ SER PREENCHIDO COM AS ÁREAS QUE DE FATO TEM OCUPAÇÃO (não precisa considerar banheiros, corredores, entre outros).</t>
  </si>
  <si>
    <t xml:space="preserve">OBS 1: NA OCUPAÇÃO "TOTAL" DEVE SER PREENCHIDO COM A OCUPAÇÃO COM MENOR CAPACIDADE DE UNIDADE DE PASSAGEM DO PAVIMENTO. ESSA OCUPAÇÃO DEVE SER DEIXADA COM A COR DE LETRA "BRANCA" E A CÉLULA SEM PREENCHIMENTO PARA NÃO APARECER NO WORD.  Ela está atualmente amarela apenas para destacar a observação e para entendimento da instrução. </t>
  </si>
  <si>
    <t>ESSE CÁLCULO É UTILIZADO EM DEPÓSITOS E SILOS E DEVE SER VINCULADO NA ABA "CÁLCULO PROBABILISTICO"</t>
  </si>
  <si>
    <t>Área do piso do pavimento - Af (m²)</t>
  </si>
  <si>
    <t>Carga de incêndio específica do pavimento                                                     qfi = ΣMiHi/Af (MJ/m²)</t>
  </si>
  <si>
    <t>Observação</t>
  </si>
  <si>
    <t>Utilizar o campo observação quando precisar descrever sobre o cálculo da carga de incêndio em depósitos, indicando a altura considerada no cálculo e/ou potencial calorifico.</t>
  </si>
  <si>
    <t xml:space="preserve">VERIFICAR AS FÓRMULAS DAS CÉLULAS COM AS OUTRAS ABAS E AJUSTAR SE NECESSÁRIO. </t>
  </si>
  <si>
    <t>Pessoas</t>
  </si>
  <si>
    <t>2º Pavimento</t>
  </si>
  <si>
    <t>aa</t>
  </si>
  <si>
    <t>INSTRUÇÕES:</t>
  </si>
  <si>
    <t>OBS4: QUANDO FOR EDIFICAÇÃO EXISTENTE E FOR NECESSÁRIO LIMITAR A POPULAÇÃO PELAS LARGURAS EXISTENTES, DEVE SER COLOCADA UMA LINHA EXTRA INDICATIVA DA POPULAÇÃO MÁXIMA, CONFORME TABELA EXEMPLO QUE ESTÁ NO MEMORIAL DESCRITIVO EXEMPLO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</si>
</sst>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color rgb="FF00B0F0"/>
      <name val="Calibri"/>
      <family val="2"/>
      <scheme val="minor"/>
    </font>
    <font>
      <sz val="11"/>
      <name val="Calibri"/>
      <family val="2"/>
      <scheme val="minor"/>
    </font>
    <font>
      <b/>
      <sz val="12"/>
      <color theme="1"/>
      <name val="Arial"/>
      <family val="2"/>
    </font>
    <font>
      <sz val="12"/>
      <color theme="1"/>
      <name val="Arial"/>
      <family val="2"/>
    </font>
    <font>
      <b/>
      <sz val="10"/>
      <color theme="1"/>
      <name val="Calibri"/>
      <family val="2"/>
      <scheme val="minor"/>
    </font>
    <font>
      <sz val="10"/>
      <color theme="1"/>
      <name val="Calibri"/>
      <family val="2"/>
      <scheme val="minor"/>
    </font>
    <font>
      <vertAlign val="superscript"/>
      <sz val="11"/>
      <color theme="1"/>
      <name val="Calibri"/>
      <family val="2"/>
      <scheme val="minor"/>
    </font>
    <font>
      <b/>
      <sz val="10"/>
      <color theme="0"/>
      <name val="Calibri"/>
      <family val="2"/>
      <scheme val="minor"/>
    </font>
  </fonts>
  <fills count="8">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249977111117893"/>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29">
    <xf numFmtId="0" fontId="0" fillId="0" borderId="0" xfId="0"/>
    <xf numFmtId="0" fontId="0" fillId="0" borderId="1" xfId="0" applyBorder="1" applyAlignment="1">
      <alignment horizontal="center" vertical="center"/>
    </xf>
    <xf numFmtId="2" fontId="0" fillId="0" borderId="1" xfId="0" applyNumberFormat="1" applyBorder="1" applyAlignment="1">
      <alignment horizontal="center" vertical="center"/>
    </xf>
    <xf numFmtId="0" fontId="0" fillId="3" borderId="0" xfId="0" applyFill="1"/>
    <xf numFmtId="0" fontId="0" fillId="0" borderId="1" xfId="0" applyBorder="1" applyAlignment="1">
      <alignment horizontal="center"/>
    </xf>
    <xf numFmtId="0" fontId="1" fillId="3" borderId="0" xfId="0" applyFont="1" applyFill="1" applyAlignment="1">
      <alignment vertical="center" wrapText="1"/>
    </xf>
    <xf numFmtId="0" fontId="0" fillId="3" borderId="0" xfId="0" applyFill="1" applyAlignment="1">
      <alignment horizontal="center" vertical="center" wrapText="1"/>
    </xf>
    <xf numFmtId="0" fontId="4" fillId="3" borderId="0" xfId="0" applyFont="1" applyFill="1" applyAlignment="1">
      <alignment horizontal="center" vertical="center" wrapText="1"/>
    </xf>
    <xf numFmtId="0" fontId="0" fillId="3" borderId="0" xfId="0" applyFill="1" applyAlignment="1">
      <alignment horizontal="center" vertical="center"/>
    </xf>
    <xf numFmtId="2" fontId="0" fillId="3" borderId="0" xfId="0" applyNumberFormat="1" applyFill="1" applyAlignment="1">
      <alignment horizontal="center" vertical="center"/>
    </xf>
    <xf numFmtId="0" fontId="6" fillId="4" borderId="1" xfId="0" applyFont="1" applyFill="1" applyBorder="1" applyAlignment="1">
      <alignment horizontal="center" vertical="center"/>
    </xf>
    <xf numFmtId="0" fontId="9" fillId="0" borderId="1" xfId="0" applyFont="1" applyBorder="1" applyAlignment="1">
      <alignment horizontal="center" vertical="center"/>
    </xf>
    <xf numFmtId="2" fontId="9" fillId="0" borderId="1" xfId="0" applyNumberFormat="1" applyFont="1" applyBorder="1" applyAlignment="1">
      <alignment horizontal="center" vertical="center"/>
    </xf>
    <xf numFmtId="0" fontId="1" fillId="3" borderId="0" xfId="0" applyFont="1" applyFill="1" applyAlignment="1">
      <alignment horizontal="center" vertical="center" wrapText="1"/>
    </xf>
    <xf numFmtId="0" fontId="0" fillId="0" borderId="0" xfId="0"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2" xfId="0" applyBorder="1" applyAlignment="1">
      <alignment horizontal="center"/>
    </xf>
    <xf numFmtId="0" fontId="0" fillId="4" borderId="7" xfId="0" applyFill="1" applyBorder="1" applyAlignment="1">
      <alignment horizontal="center"/>
    </xf>
    <xf numFmtId="0" fontId="0" fillId="4" borderId="13" xfId="0" applyFill="1" applyBorder="1" applyAlignment="1">
      <alignment horizont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2" fontId="0" fillId="4" borderId="7" xfId="0" applyNumberFormat="1" applyFill="1" applyBorder="1" applyAlignment="1">
      <alignment horizontal="center" vertical="center"/>
    </xf>
    <xf numFmtId="0" fontId="0" fillId="3" borderId="0" xfId="0" applyFill="1" applyAlignment="1">
      <alignment vertical="center"/>
    </xf>
    <xf numFmtId="0" fontId="3" fillId="3" borderId="0" xfId="0" applyFont="1" applyFill="1"/>
    <xf numFmtId="0" fontId="0" fillId="3" borderId="0" xfId="0" applyFill="1" applyAlignment="1">
      <alignment horizontal="center"/>
    </xf>
    <xf numFmtId="0" fontId="5" fillId="3" borderId="0" xfId="0" applyFont="1" applyFill="1" applyAlignment="1">
      <alignment horizontal="center" vertical="center"/>
    </xf>
    <xf numFmtId="0" fontId="1" fillId="3" borderId="0" xfId="0" applyFont="1" applyFill="1" applyAlignment="1">
      <alignment vertical="center"/>
    </xf>
    <xf numFmtId="2" fontId="1" fillId="3" borderId="0" xfId="0" applyNumberFormat="1" applyFont="1" applyFill="1" applyAlignment="1">
      <alignment horizontal="center" vertical="center"/>
    </xf>
    <xf numFmtId="2" fontId="0" fillId="3" borderId="0" xfId="0" applyNumberFormat="1" applyFill="1"/>
    <xf numFmtId="2" fontId="0" fillId="4" borderId="1" xfId="0" applyNumberFormat="1" applyFill="1" applyBorder="1" applyAlignment="1">
      <alignment horizontal="center" vertical="center"/>
    </xf>
    <xf numFmtId="0" fontId="1" fillId="2" borderId="4" xfId="0" applyFont="1" applyFill="1" applyBorder="1" applyAlignment="1">
      <alignment horizontal="center" vertical="center"/>
    </xf>
    <xf numFmtId="0" fontId="1" fillId="2" borderId="14" xfId="0" applyFont="1" applyFill="1" applyBorder="1" applyAlignment="1">
      <alignment horizontal="center" vertical="center" wrapText="1"/>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1" fillId="2" borderId="12" xfId="0" applyFont="1" applyFill="1" applyBorder="1" applyAlignment="1">
      <alignment horizontal="center" vertical="center"/>
    </xf>
    <xf numFmtId="2" fontId="1" fillId="2" borderId="13" xfId="0" applyNumberFormat="1" applyFont="1" applyFill="1" applyBorder="1" applyAlignment="1">
      <alignment horizontal="center" vertical="center"/>
    </xf>
    <xf numFmtId="2" fontId="9" fillId="4" borderId="1" xfId="0" applyNumberFormat="1" applyFont="1" applyFill="1" applyBorder="1" applyAlignment="1">
      <alignment horizontal="center" vertical="center"/>
    </xf>
    <xf numFmtId="0" fontId="0" fillId="0" borderId="0" xfId="0" applyAlignment="1">
      <alignment wrapText="1"/>
    </xf>
    <xf numFmtId="0" fontId="1" fillId="0" borderId="0" xfId="0" applyFont="1"/>
    <xf numFmtId="0" fontId="0" fillId="0" borderId="0" xfId="0" applyAlignment="1">
      <alignment horizont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1" fontId="9" fillId="4" borderId="1"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xf>
    <xf numFmtId="0" fontId="0" fillId="0" borderId="0" xfId="0" applyAlignment="1">
      <alignment horizontal="center" wrapText="1"/>
    </xf>
    <xf numFmtId="0" fontId="8" fillId="2" borderId="6" xfId="0" applyFont="1" applyFill="1" applyBorder="1" applyAlignment="1">
      <alignment horizontal="center" vertical="center" wrapText="1"/>
    </xf>
    <xf numFmtId="1" fontId="9" fillId="4" borderId="1" xfId="0" applyNumberFormat="1" applyFont="1" applyFill="1" applyBorder="1" applyAlignment="1">
      <alignment horizontal="center" vertical="center" wrapText="1"/>
    </xf>
    <xf numFmtId="0" fontId="8" fillId="2" borderId="19" xfId="0" applyFont="1" applyFill="1" applyBorder="1" applyAlignment="1">
      <alignment horizontal="center" vertical="center"/>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0" fillId="0" borderId="1" xfId="0" applyBorder="1" applyAlignment="1">
      <alignment horizontal="center" vertical="center" wrapText="1"/>
    </xf>
    <xf numFmtId="0" fontId="0" fillId="5" borderId="0" xfId="0" applyFill="1"/>
    <xf numFmtId="2" fontId="0" fillId="0" borderId="1" xfId="0" applyNumberFormat="1" applyBorder="1" applyAlignment="1">
      <alignment horizontal="center"/>
    </xf>
    <xf numFmtId="2" fontId="0" fillId="0" borderId="12" xfId="0" applyNumberFormat="1" applyBorder="1" applyAlignment="1">
      <alignment horizontal="center"/>
    </xf>
    <xf numFmtId="2" fontId="0" fillId="4" borderId="7" xfId="0" applyNumberFormat="1" applyFill="1" applyBorder="1" applyAlignment="1">
      <alignment horizontal="center"/>
    </xf>
    <xf numFmtId="0" fontId="1" fillId="2" borderId="21" xfId="0" applyFont="1" applyFill="1" applyBorder="1" applyAlignment="1">
      <alignment horizontal="center" vertical="center" wrapText="1"/>
    </xf>
    <xf numFmtId="2" fontId="0" fillId="4" borderId="22" xfId="0" applyNumberFormat="1" applyFill="1" applyBorder="1" applyAlignment="1">
      <alignment horizontal="center" vertical="center"/>
    </xf>
    <xf numFmtId="2" fontId="0" fillId="4" borderId="23" xfId="0" applyNumberFormat="1" applyFill="1" applyBorder="1" applyAlignment="1">
      <alignment horizontal="center" vertical="center"/>
    </xf>
    <xf numFmtId="2" fontId="1" fillId="2" borderId="24" xfId="0" applyNumberFormat="1" applyFont="1" applyFill="1" applyBorder="1" applyAlignment="1">
      <alignment horizontal="center" vertical="center"/>
    </xf>
    <xf numFmtId="2" fontId="0" fillId="5" borderId="16" xfId="0" applyNumberFormat="1" applyFill="1" applyBorder="1" applyAlignment="1">
      <alignment vertical="center"/>
    </xf>
    <xf numFmtId="2" fontId="0" fillId="3" borderId="0" xfId="0" applyNumberFormat="1" applyFill="1" applyAlignment="1">
      <alignment vertical="center"/>
    </xf>
    <xf numFmtId="0" fontId="1" fillId="3" borderId="0" xfId="0" applyFont="1" applyFill="1" applyAlignment="1">
      <alignment horizontal="center" vertical="center"/>
    </xf>
    <xf numFmtId="2" fontId="9"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1" fillId="3" borderId="0" xfId="0" applyFont="1" applyFill="1"/>
    <xf numFmtId="0" fontId="11" fillId="5" borderId="1" xfId="0" applyFont="1" applyFill="1" applyBorder="1" applyAlignment="1">
      <alignment horizontal="center" vertical="center" wrapText="1"/>
    </xf>
    <xf numFmtId="2" fontId="1" fillId="6" borderId="26" xfId="0" applyNumberFormat="1" applyFont="1" applyFill="1" applyBorder="1" applyAlignment="1">
      <alignment horizontal="center" vertical="center"/>
    </xf>
    <xf numFmtId="0" fontId="1" fillId="6" borderId="27" xfId="0" applyFont="1" applyFill="1" applyBorder="1" applyAlignment="1">
      <alignment horizontal="center" vertical="center"/>
    </xf>
    <xf numFmtId="0" fontId="8" fillId="7" borderId="1" xfId="0" applyFont="1" applyFill="1" applyBorder="1" applyAlignment="1">
      <alignment horizontal="center" vertical="center" wrapText="1"/>
    </xf>
    <xf numFmtId="1" fontId="8" fillId="7" borderId="1" xfId="0" applyNumberFormat="1" applyFont="1" applyFill="1" applyBorder="1" applyAlignment="1">
      <alignment horizontal="center" vertical="center" wrapText="1"/>
    </xf>
    <xf numFmtId="0" fontId="8" fillId="7" borderId="1" xfId="0" applyFont="1" applyFill="1" applyBorder="1" applyAlignment="1">
      <alignment horizontal="center" vertical="center"/>
    </xf>
    <xf numFmtId="1" fontId="8" fillId="7" borderId="1" xfId="0" applyNumberFormat="1" applyFont="1" applyFill="1" applyBorder="1" applyAlignment="1">
      <alignment horizontal="center" vertical="center"/>
    </xf>
    <xf numFmtId="2" fontId="8" fillId="7" borderId="1" xfId="0" applyNumberFormat="1" applyFont="1" applyFill="1" applyBorder="1" applyAlignment="1">
      <alignment horizontal="center" vertical="center"/>
    </xf>
    <xf numFmtId="0" fontId="0" fillId="3" borderId="0" xfId="0" applyFill="1" applyBorder="1" applyAlignment="1">
      <alignment horizontal="center" wrapText="1"/>
    </xf>
    <xf numFmtId="0" fontId="0" fillId="0" borderId="0" xfId="0" applyAlignment="1">
      <alignment horizontal="left"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3" borderId="17" xfId="0" applyFill="1" applyBorder="1" applyAlignment="1">
      <alignment horizontal="center"/>
    </xf>
    <xf numFmtId="0" fontId="0" fillId="3" borderId="7" xfId="0" applyFill="1" applyBorder="1" applyAlignment="1">
      <alignment horizontal="center"/>
    </xf>
    <xf numFmtId="0" fontId="0" fillId="3" borderId="0" xfId="0" applyFill="1" applyAlignment="1">
      <alignment horizontal="center"/>
    </xf>
    <xf numFmtId="0" fontId="0" fillId="3" borderId="17" xfId="0" applyFill="1" applyBorder="1" applyAlignment="1">
      <alignment horizontal="center" wrapText="1"/>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2" fontId="1" fillId="2" borderId="3" xfId="0" applyNumberFormat="1" applyFont="1" applyFill="1" applyBorder="1" applyAlignment="1">
      <alignment horizontal="center" vertical="center"/>
    </xf>
    <xf numFmtId="0" fontId="1" fillId="2" borderId="5" xfId="0" applyFont="1" applyFill="1" applyBorder="1" applyAlignment="1">
      <alignment horizontal="center" vertical="center"/>
    </xf>
    <xf numFmtId="2" fontId="1" fillId="3" borderId="0" xfId="0" applyNumberFormat="1" applyFont="1" applyFill="1" applyAlignment="1">
      <alignment horizontal="center"/>
    </xf>
    <xf numFmtId="0" fontId="1" fillId="3" borderId="0" xfId="0" applyFont="1" applyFill="1" applyAlignment="1">
      <alignment horizontal="center"/>
    </xf>
    <xf numFmtId="0" fontId="0" fillId="3" borderId="18" xfId="0" applyFill="1" applyBorder="1" applyAlignment="1">
      <alignment horizontal="center"/>
    </xf>
    <xf numFmtId="0" fontId="0" fillId="3" borderId="13" xfId="0" applyFill="1" applyBorder="1" applyAlignment="1">
      <alignment horizontal="center"/>
    </xf>
    <xf numFmtId="0" fontId="0" fillId="3" borderId="0" xfId="0" applyFill="1" applyAlignment="1">
      <alignment horizontal="center" vertical="center"/>
    </xf>
    <xf numFmtId="0" fontId="8" fillId="7" borderId="1" xfId="0" applyFont="1" applyFill="1" applyBorder="1" applyAlignment="1">
      <alignment horizontal="center" vertical="center" wrapText="1"/>
    </xf>
    <xf numFmtId="0" fontId="0" fillId="3" borderId="0" xfId="0" applyFill="1" applyAlignment="1">
      <alignment horizontal="center" wrapText="1"/>
    </xf>
    <xf numFmtId="0" fontId="0" fillId="3" borderId="16" xfId="0" applyFill="1" applyBorder="1" applyAlignment="1">
      <alignment horizontal="center" wrapText="1"/>
    </xf>
    <xf numFmtId="0" fontId="1" fillId="3" borderId="0" xfId="0" applyFont="1" applyFill="1" applyAlignment="1">
      <alignment horizontal="center" vertical="center" wrapText="1"/>
    </xf>
    <xf numFmtId="0" fontId="9" fillId="3" borderId="0" xfId="0" applyFont="1" applyFill="1" applyAlignment="1">
      <alignment horizontal="center" vertical="center" wrapText="1"/>
    </xf>
    <xf numFmtId="0" fontId="0" fillId="3" borderId="0" xfId="0" applyFill="1" applyAlignment="1">
      <alignment horizontal="center" vertical="center" wrapText="1"/>
    </xf>
    <xf numFmtId="0" fontId="9" fillId="5" borderId="0" xfId="0" applyFont="1" applyFill="1" applyAlignment="1">
      <alignment horizontal="center" vertical="center" wrapText="1"/>
    </xf>
    <xf numFmtId="0" fontId="8" fillId="2" borderId="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0" fontId="1" fillId="6" borderId="25" xfId="0" applyFont="1" applyFill="1" applyBorder="1" applyAlignment="1">
      <alignment horizontal="center" vertical="center"/>
    </xf>
    <xf numFmtId="0" fontId="1" fillId="6" borderId="26" xfId="0" applyFont="1" applyFill="1" applyBorder="1" applyAlignment="1">
      <alignment horizontal="center" vertical="center"/>
    </xf>
    <xf numFmtId="0" fontId="6"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0F0F0"/>
      <color rgb="FFFDFDFD"/>
      <color rgb="FFFABCC6"/>
      <color rgb="FFFF79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025A-B675-43B9-A0E2-6B6B3EB09482}">
  <dimension ref="A1:H107"/>
  <sheetViews>
    <sheetView zoomScale="85" zoomScaleNormal="85" workbookViewId="0">
      <selection activeCell="D34" sqref="D34"/>
    </sheetView>
  </sheetViews>
  <sheetFormatPr defaultRowHeight="14.4" x14ac:dyDescent="0.3"/>
  <cols>
    <col min="1" max="1" width="11.109375" bestFit="1" customWidth="1"/>
    <col min="2" max="2" width="38.88671875" customWidth="1"/>
    <col min="3" max="3" width="10.109375" customWidth="1"/>
    <col min="4" max="4" width="75.44140625" bestFit="1" customWidth="1"/>
    <col min="5" max="5" width="14.6640625" style="46" customWidth="1"/>
    <col min="6" max="6" width="28.44140625" bestFit="1" customWidth="1"/>
    <col min="7" max="7" width="22" bestFit="1" customWidth="1"/>
    <col min="8" max="8" width="11.109375" bestFit="1" customWidth="1"/>
  </cols>
  <sheetData>
    <row r="1" spans="1:8" x14ac:dyDescent="0.3">
      <c r="A1" s="88" t="s">
        <v>0</v>
      </c>
      <c r="B1" s="88"/>
      <c r="C1" s="46"/>
      <c r="F1" t="s">
        <v>78</v>
      </c>
    </row>
    <row r="2" spans="1:8" ht="16.2" x14ac:dyDescent="0.3">
      <c r="A2" t="s">
        <v>34</v>
      </c>
      <c r="B2" t="s">
        <v>152</v>
      </c>
      <c r="D2" t="s">
        <v>123</v>
      </c>
      <c r="E2" s="46" t="s">
        <v>195</v>
      </c>
      <c r="F2" t="s">
        <v>79</v>
      </c>
      <c r="G2" t="s">
        <v>80</v>
      </c>
      <c r="H2" t="s">
        <v>13</v>
      </c>
    </row>
    <row r="3" spans="1:8" ht="16.2" x14ac:dyDescent="0.3">
      <c r="A3" s="87" t="s">
        <v>81</v>
      </c>
      <c r="B3" t="s">
        <v>82</v>
      </c>
      <c r="C3" t="s">
        <v>157</v>
      </c>
      <c r="D3" t="s">
        <v>124</v>
      </c>
      <c r="E3" s="46">
        <v>0</v>
      </c>
      <c r="F3" s="14">
        <v>60</v>
      </c>
      <c r="G3" s="14">
        <v>45</v>
      </c>
      <c r="H3" s="14">
        <v>100</v>
      </c>
    </row>
    <row r="4" spans="1:8" ht="16.2" x14ac:dyDescent="0.3">
      <c r="A4" s="87"/>
      <c r="B4" t="s">
        <v>82</v>
      </c>
      <c r="C4" t="s">
        <v>26</v>
      </c>
      <c r="D4" t="s">
        <v>124</v>
      </c>
      <c r="E4" s="46">
        <v>0</v>
      </c>
      <c r="F4" s="14">
        <v>60</v>
      </c>
      <c r="G4" s="14">
        <v>45</v>
      </c>
      <c r="H4" s="14">
        <v>100</v>
      </c>
    </row>
    <row r="5" spans="1:8" ht="16.2" x14ac:dyDescent="0.3">
      <c r="A5" s="87"/>
      <c r="B5" t="s">
        <v>86</v>
      </c>
      <c r="C5" t="s">
        <v>86</v>
      </c>
      <c r="D5" t="s">
        <v>125</v>
      </c>
      <c r="E5" s="46">
        <v>0</v>
      </c>
      <c r="F5" s="14">
        <v>60</v>
      </c>
      <c r="G5" s="14">
        <v>45</v>
      </c>
      <c r="H5" s="14">
        <v>100</v>
      </c>
    </row>
    <row r="6" spans="1:8" x14ac:dyDescent="0.3">
      <c r="A6" s="87" t="s">
        <v>87</v>
      </c>
      <c r="B6" t="s">
        <v>76</v>
      </c>
      <c r="C6" t="s">
        <v>158</v>
      </c>
      <c r="D6" t="s">
        <v>88</v>
      </c>
      <c r="E6" s="46">
        <v>15</v>
      </c>
      <c r="F6" s="14">
        <v>60</v>
      </c>
      <c r="G6" s="14">
        <v>45</v>
      </c>
      <c r="H6" s="14">
        <v>100</v>
      </c>
    </row>
    <row r="7" spans="1:8" x14ac:dyDescent="0.3">
      <c r="A7" s="87"/>
      <c r="B7" t="s">
        <v>76</v>
      </c>
      <c r="C7" t="s">
        <v>159</v>
      </c>
      <c r="D7" t="s">
        <v>88</v>
      </c>
      <c r="E7" s="46">
        <v>15</v>
      </c>
      <c r="F7" s="14">
        <v>60</v>
      </c>
      <c r="G7" s="14">
        <v>45</v>
      </c>
      <c r="H7" s="14">
        <v>100</v>
      </c>
    </row>
    <row r="8" spans="1:8" ht="16.2" x14ac:dyDescent="0.3">
      <c r="A8" s="87" t="s">
        <v>89</v>
      </c>
      <c r="B8" t="s">
        <v>76</v>
      </c>
      <c r="C8" t="s">
        <v>160</v>
      </c>
      <c r="D8" t="s">
        <v>126</v>
      </c>
      <c r="E8" s="46">
        <v>5</v>
      </c>
      <c r="F8" s="14">
        <v>100</v>
      </c>
      <c r="G8" s="14">
        <v>75</v>
      </c>
      <c r="H8" s="14">
        <v>100</v>
      </c>
    </row>
    <row r="9" spans="1:8" ht="16.2" x14ac:dyDescent="0.3">
      <c r="A9" s="87"/>
      <c r="B9" t="s">
        <v>76</v>
      </c>
      <c r="C9" t="s">
        <v>27</v>
      </c>
      <c r="D9" t="s">
        <v>126</v>
      </c>
      <c r="E9" s="46">
        <v>5</v>
      </c>
      <c r="F9" s="14">
        <v>100</v>
      </c>
      <c r="G9" s="14">
        <v>75</v>
      </c>
      <c r="H9" s="14">
        <v>100</v>
      </c>
    </row>
    <row r="10" spans="1:8" ht="16.2" x14ac:dyDescent="0.3">
      <c r="A10" s="87"/>
      <c r="B10" t="s">
        <v>76</v>
      </c>
      <c r="C10" t="s">
        <v>161</v>
      </c>
      <c r="D10" t="s">
        <v>126</v>
      </c>
      <c r="E10" s="46">
        <v>5</v>
      </c>
      <c r="F10" s="14">
        <v>100</v>
      </c>
      <c r="G10" s="14">
        <v>75</v>
      </c>
      <c r="H10" s="14">
        <v>100</v>
      </c>
    </row>
    <row r="11" spans="1:8" ht="17.25" customHeight="1" x14ac:dyDescent="0.3">
      <c r="A11" s="87" t="s">
        <v>43</v>
      </c>
      <c r="B11" s="89" t="s">
        <v>151</v>
      </c>
      <c r="C11" t="s">
        <v>56</v>
      </c>
      <c r="D11" t="s">
        <v>91</v>
      </c>
      <c r="E11" s="46">
        <v>7</v>
      </c>
      <c r="F11" s="14">
        <v>100</v>
      </c>
      <c r="G11" s="14">
        <v>75</v>
      </c>
      <c r="H11" s="14">
        <v>100</v>
      </c>
    </row>
    <row r="12" spans="1:8" ht="17.25" customHeight="1" x14ac:dyDescent="0.3">
      <c r="A12" s="87"/>
      <c r="B12" s="89"/>
      <c r="C12" t="s">
        <v>162</v>
      </c>
      <c r="D12" t="s">
        <v>91</v>
      </c>
      <c r="E12" s="46">
        <v>7</v>
      </c>
      <c r="F12" s="14">
        <v>100</v>
      </c>
      <c r="G12" s="14">
        <v>75</v>
      </c>
      <c r="H12" s="14">
        <v>100</v>
      </c>
    </row>
    <row r="13" spans="1:8" ht="17.25" customHeight="1" x14ac:dyDescent="0.3">
      <c r="A13" s="87"/>
      <c r="B13" s="89"/>
      <c r="C13" t="s">
        <v>163</v>
      </c>
      <c r="D13" t="s">
        <v>91</v>
      </c>
      <c r="E13" s="46">
        <v>7</v>
      </c>
      <c r="F13" s="14">
        <v>100</v>
      </c>
      <c r="G13" s="14">
        <v>75</v>
      </c>
      <c r="H13" s="14">
        <v>100</v>
      </c>
    </row>
    <row r="14" spans="1:8" ht="17.25" customHeight="1" x14ac:dyDescent="0.3">
      <c r="A14" s="87"/>
      <c r="B14" s="89"/>
      <c r="C14" t="s">
        <v>90</v>
      </c>
      <c r="D14" t="s">
        <v>91</v>
      </c>
      <c r="E14" s="46">
        <v>7</v>
      </c>
      <c r="F14" s="14">
        <v>100</v>
      </c>
      <c r="G14" s="14">
        <v>75</v>
      </c>
      <c r="H14" s="14">
        <v>100</v>
      </c>
    </row>
    <row r="15" spans="1:8" x14ac:dyDescent="0.3">
      <c r="A15" s="87" t="s">
        <v>93</v>
      </c>
      <c r="B15" s="89" t="s">
        <v>94</v>
      </c>
      <c r="C15" t="s">
        <v>164</v>
      </c>
      <c r="D15" t="s">
        <v>95</v>
      </c>
      <c r="E15" s="46">
        <v>1.5</v>
      </c>
      <c r="F15" s="14">
        <v>100</v>
      </c>
      <c r="G15" s="14">
        <v>75</v>
      </c>
      <c r="H15" s="14">
        <v>100</v>
      </c>
    </row>
    <row r="16" spans="1:8" x14ac:dyDescent="0.3">
      <c r="A16" s="87"/>
      <c r="B16" s="89"/>
      <c r="C16" t="s">
        <v>165</v>
      </c>
      <c r="D16" t="s">
        <v>95</v>
      </c>
      <c r="E16" s="46">
        <v>1.5</v>
      </c>
      <c r="F16" s="14">
        <v>100</v>
      </c>
      <c r="G16" s="14">
        <v>75</v>
      </c>
      <c r="H16" s="14">
        <v>100</v>
      </c>
    </row>
    <row r="17" spans="1:8" x14ac:dyDescent="0.3">
      <c r="A17" s="87"/>
      <c r="B17" s="89"/>
      <c r="C17" t="s">
        <v>166</v>
      </c>
      <c r="D17" t="s">
        <v>95</v>
      </c>
      <c r="E17" s="46">
        <v>1.5</v>
      </c>
      <c r="F17" s="14">
        <v>100</v>
      </c>
      <c r="G17" s="14">
        <v>75</v>
      </c>
      <c r="H17" s="14">
        <v>100</v>
      </c>
    </row>
    <row r="18" spans="1:8" x14ac:dyDescent="0.3">
      <c r="A18" s="87"/>
      <c r="B18" s="89"/>
      <c r="C18" t="s">
        <v>167</v>
      </c>
      <c r="D18" t="s">
        <v>95</v>
      </c>
      <c r="E18" s="46">
        <v>1.5</v>
      </c>
      <c r="F18" s="14">
        <v>100</v>
      </c>
      <c r="G18" s="14">
        <v>75</v>
      </c>
      <c r="H18" s="14">
        <v>100</v>
      </c>
    </row>
    <row r="19" spans="1:8" x14ac:dyDescent="0.3">
      <c r="A19" s="87"/>
      <c r="B19" s="89" t="s">
        <v>96</v>
      </c>
      <c r="C19" t="s">
        <v>168</v>
      </c>
      <c r="D19" t="s">
        <v>95</v>
      </c>
      <c r="E19" s="46">
        <v>1.5</v>
      </c>
      <c r="F19" s="14" t="s">
        <v>97</v>
      </c>
      <c r="G19" s="14" t="s">
        <v>98</v>
      </c>
      <c r="H19" s="14" t="s">
        <v>97</v>
      </c>
    </row>
    <row r="20" spans="1:8" x14ac:dyDescent="0.3">
      <c r="A20" s="87"/>
      <c r="B20" s="89"/>
      <c r="C20" t="s">
        <v>169</v>
      </c>
      <c r="D20" t="s">
        <v>95</v>
      </c>
      <c r="E20" s="46">
        <v>1.5</v>
      </c>
      <c r="F20" s="14">
        <v>30</v>
      </c>
      <c r="G20" s="14">
        <v>22</v>
      </c>
      <c r="H20" s="14">
        <v>30</v>
      </c>
    </row>
    <row r="21" spans="1:8" x14ac:dyDescent="0.3">
      <c r="A21" s="87" t="s">
        <v>58</v>
      </c>
      <c r="B21" s="89" t="s">
        <v>99</v>
      </c>
      <c r="C21" t="s">
        <v>170</v>
      </c>
      <c r="D21" t="s">
        <v>100</v>
      </c>
      <c r="E21" s="46">
        <v>3</v>
      </c>
      <c r="F21" s="14">
        <v>100</v>
      </c>
      <c r="G21" s="14" t="s">
        <v>92</v>
      </c>
      <c r="H21" s="14" t="s">
        <v>85</v>
      </c>
    </row>
    <row r="22" spans="1:8" x14ac:dyDescent="0.3">
      <c r="A22" s="87"/>
      <c r="B22" s="89"/>
      <c r="C22" t="s">
        <v>176</v>
      </c>
      <c r="D22" t="s">
        <v>100</v>
      </c>
      <c r="E22" s="46">
        <v>3</v>
      </c>
      <c r="F22" s="14">
        <v>100</v>
      </c>
      <c r="G22" s="14" t="s">
        <v>92</v>
      </c>
      <c r="H22" s="14" t="s">
        <v>85</v>
      </c>
    </row>
    <row r="23" spans="1:8" ht="16.2" x14ac:dyDescent="0.3">
      <c r="A23" s="87"/>
      <c r="B23" s="48"/>
      <c r="C23" t="s">
        <v>171</v>
      </c>
      <c r="D23" t="s">
        <v>127</v>
      </c>
      <c r="E23" s="46">
        <v>1</v>
      </c>
      <c r="F23" s="14">
        <v>100</v>
      </c>
      <c r="G23" s="14" t="s">
        <v>92</v>
      </c>
      <c r="H23" s="14" t="s">
        <v>85</v>
      </c>
    </row>
    <row r="24" spans="1:8" ht="16.2" x14ac:dyDescent="0.3">
      <c r="A24" s="87"/>
      <c r="B24" s="48"/>
      <c r="C24" t="s">
        <v>172</v>
      </c>
      <c r="D24" t="s">
        <v>127</v>
      </c>
      <c r="E24" s="46">
        <v>1</v>
      </c>
      <c r="F24" s="14">
        <v>100</v>
      </c>
      <c r="G24" s="14" t="s">
        <v>92</v>
      </c>
      <c r="H24" s="14" t="s">
        <v>85</v>
      </c>
    </row>
    <row r="25" spans="1:8" ht="16.2" x14ac:dyDescent="0.3">
      <c r="A25" s="87"/>
      <c r="B25" t="s">
        <v>101</v>
      </c>
      <c r="C25" t="s">
        <v>53</v>
      </c>
      <c r="D25" t="s">
        <v>127</v>
      </c>
      <c r="E25" s="46">
        <v>1</v>
      </c>
      <c r="F25" s="14">
        <v>100</v>
      </c>
      <c r="G25" s="14" t="s">
        <v>92</v>
      </c>
      <c r="H25" s="14" t="s">
        <v>85</v>
      </c>
    </row>
    <row r="26" spans="1:8" ht="17.25" customHeight="1" x14ac:dyDescent="0.3">
      <c r="A26" s="87"/>
      <c r="B26" s="90" t="s">
        <v>153</v>
      </c>
      <c r="C26" s="49" t="s">
        <v>102</v>
      </c>
      <c r="D26" s="48" t="s">
        <v>128</v>
      </c>
      <c r="E26" s="46">
        <v>0.5</v>
      </c>
      <c r="F26" s="14">
        <v>100</v>
      </c>
      <c r="G26" s="14" t="s">
        <v>92</v>
      </c>
      <c r="H26" s="14" t="s">
        <v>85</v>
      </c>
    </row>
    <row r="27" spans="1:8" x14ac:dyDescent="0.3">
      <c r="A27" s="87"/>
      <c r="B27" s="90"/>
      <c r="C27" s="49" t="s">
        <v>173</v>
      </c>
      <c r="D27" s="48" t="s">
        <v>128</v>
      </c>
      <c r="E27" s="46">
        <v>0.5</v>
      </c>
      <c r="F27" s="14">
        <v>100</v>
      </c>
      <c r="G27" s="14" t="s">
        <v>92</v>
      </c>
      <c r="H27" s="14" t="s">
        <v>85</v>
      </c>
    </row>
    <row r="28" spans="1:8" x14ac:dyDescent="0.3">
      <c r="A28" s="87"/>
      <c r="B28" s="90"/>
      <c r="C28" s="49" t="s">
        <v>174</v>
      </c>
      <c r="D28" s="48" t="s">
        <v>128</v>
      </c>
      <c r="E28" s="46">
        <v>0.5</v>
      </c>
      <c r="F28" s="14">
        <v>100</v>
      </c>
      <c r="G28" s="14" t="s">
        <v>92</v>
      </c>
      <c r="H28" s="14" t="s">
        <v>85</v>
      </c>
    </row>
    <row r="29" spans="1:8" x14ac:dyDescent="0.3">
      <c r="A29" s="87"/>
      <c r="B29" s="90"/>
      <c r="C29" s="49" t="s">
        <v>175</v>
      </c>
      <c r="D29" s="48" t="s">
        <v>128</v>
      </c>
      <c r="E29" s="46">
        <v>0.5</v>
      </c>
      <c r="F29" s="14">
        <v>100</v>
      </c>
      <c r="G29" s="14" t="s">
        <v>92</v>
      </c>
      <c r="H29" s="14" t="s">
        <v>85</v>
      </c>
    </row>
    <row r="30" spans="1:8" x14ac:dyDescent="0.3">
      <c r="A30" s="87"/>
      <c r="B30" s="90"/>
      <c r="C30" s="49" t="s">
        <v>177</v>
      </c>
      <c r="D30" s="48" t="s">
        <v>128</v>
      </c>
      <c r="E30" s="46">
        <v>0.5</v>
      </c>
      <c r="F30" s="14">
        <v>100</v>
      </c>
      <c r="G30" s="14" t="s">
        <v>92</v>
      </c>
      <c r="H30" s="14" t="s">
        <v>85</v>
      </c>
    </row>
    <row r="31" spans="1:8" x14ac:dyDescent="0.3">
      <c r="A31" s="87"/>
      <c r="B31" t="s">
        <v>103</v>
      </c>
      <c r="C31" s="49" t="s">
        <v>103</v>
      </c>
      <c r="D31" t="s">
        <v>100</v>
      </c>
      <c r="E31" s="46">
        <v>3</v>
      </c>
      <c r="F31" s="14">
        <v>100</v>
      </c>
      <c r="G31" s="14" t="s">
        <v>92</v>
      </c>
      <c r="H31" s="14" t="s">
        <v>85</v>
      </c>
    </row>
    <row r="32" spans="1:8" x14ac:dyDescent="0.3">
      <c r="A32" s="87" t="s">
        <v>59</v>
      </c>
      <c r="B32" s="89" t="s">
        <v>104</v>
      </c>
      <c r="C32" s="49" t="s">
        <v>178</v>
      </c>
      <c r="D32" t="s">
        <v>105</v>
      </c>
      <c r="E32" s="46">
        <v>40</v>
      </c>
      <c r="F32" s="14" t="s">
        <v>85</v>
      </c>
      <c r="G32" s="14">
        <v>60</v>
      </c>
      <c r="H32" s="14" t="s">
        <v>85</v>
      </c>
    </row>
    <row r="33" spans="1:8" x14ac:dyDescent="0.3">
      <c r="A33" s="87"/>
      <c r="B33" s="89"/>
      <c r="C33" s="49" t="s">
        <v>179</v>
      </c>
      <c r="D33" t="s">
        <v>105</v>
      </c>
      <c r="E33" s="46">
        <v>40</v>
      </c>
      <c r="F33" s="14" t="s">
        <v>85</v>
      </c>
      <c r="G33" s="14">
        <v>60</v>
      </c>
      <c r="H33" s="14" t="s">
        <v>85</v>
      </c>
    </row>
    <row r="34" spans="1:8" x14ac:dyDescent="0.3">
      <c r="A34" s="87"/>
      <c r="B34" s="89"/>
      <c r="C34" s="49" t="s">
        <v>180</v>
      </c>
      <c r="D34" t="s">
        <v>105</v>
      </c>
      <c r="E34" s="46">
        <v>40</v>
      </c>
      <c r="F34" s="14" t="s">
        <v>85</v>
      </c>
      <c r="G34" s="14">
        <v>60</v>
      </c>
      <c r="H34" s="14" t="s">
        <v>85</v>
      </c>
    </row>
    <row r="35" spans="1:8" x14ac:dyDescent="0.3">
      <c r="A35" s="87"/>
      <c r="B35" s="89" t="s">
        <v>106</v>
      </c>
      <c r="C35" s="49" t="s">
        <v>54</v>
      </c>
      <c r="D35" t="s">
        <v>107</v>
      </c>
      <c r="E35" s="46">
        <v>20</v>
      </c>
      <c r="F35" s="14" t="s">
        <v>85</v>
      </c>
      <c r="G35" s="14">
        <v>60</v>
      </c>
      <c r="H35" s="14" t="s">
        <v>85</v>
      </c>
    </row>
    <row r="36" spans="1:8" x14ac:dyDescent="0.3">
      <c r="A36" s="87"/>
      <c r="B36" s="89"/>
      <c r="C36" s="49" t="s">
        <v>181</v>
      </c>
      <c r="D36" t="s">
        <v>107</v>
      </c>
      <c r="E36" s="46">
        <v>20</v>
      </c>
      <c r="F36" s="14" t="s">
        <v>85</v>
      </c>
      <c r="G36" s="14">
        <v>60</v>
      </c>
      <c r="H36" s="14" t="s">
        <v>85</v>
      </c>
    </row>
    <row r="37" spans="1:8" x14ac:dyDescent="0.3">
      <c r="A37" s="87" t="s">
        <v>108</v>
      </c>
      <c r="B37" s="89" t="s">
        <v>109</v>
      </c>
      <c r="C37" s="49" t="s">
        <v>182</v>
      </c>
      <c r="D37" t="s">
        <v>91</v>
      </c>
      <c r="E37" s="46">
        <v>7</v>
      </c>
      <c r="F37" s="14" t="s">
        <v>83</v>
      </c>
      <c r="G37" s="14" t="s">
        <v>84</v>
      </c>
      <c r="H37" s="14" t="s">
        <v>85</v>
      </c>
    </row>
    <row r="38" spans="1:8" x14ac:dyDescent="0.3">
      <c r="A38" s="87"/>
      <c r="B38" s="89"/>
      <c r="C38" s="49" t="s">
        <v>183</v>
      </c>
      <c r="D38" t="s">
        <v>91</v>
      </c>
      <c r="E38" s="46">
        <v>7</v>
      </c>
      <c r="F38" s="14" t="s">
        <v>83</v>
      </c>
      <c r="G38" s="14" t="s">
        <v>84</v>
      </c>
      <c r="H38" s="14" t="s">
        <v>85</v>
      </c>
    </row>
    <row r="39" spans="1:8" ht="16.2" x14ac:dyDescent="0.3">
      <c r="A39" s="87"/>
      <c r="B39" s="47" t="s">
        <v>110</v>
      </c>
      <c r="C39" s="49" t="s">
        <v>110</v>
      </c>
      <c r="D39" s="44" t="s">
        <v>184</v>
      </c>
      <c r="E39" s="55">
        <v>0</v>
      </c>
      <c r="F39" s="14" t="s">
        <v>97</v>
      </c>
      <c r="G39" s="14" t="s">
        <v>98</v>
      </c>
      <c r="H39" s="14" t="s">
        <v>97</v>
      </c>
    </row>
    <row r="40" spans="1:8" ht="16.2" x14ac:dyDescent="0.3">
      <c r="A40" s="87"/>
      <c r="B40" t="s">
        <v>111</v>
      </c>
      <c r="C40" s="49" t="s">
        <v>111</v>
      </c>
      <c r="D40" t="s">
        <v>154</v>
      </c>
      <c r="E40" s="46">
        <v>0</v>
      </c>
      <c r="F40" s="14" t="s">
        <v>97</v>
      </c>
      <c r="G40" s="14">
        <v>22</v>
      </c>
      <c r="H40" s="14">
        <v>30</v>
      </c>
    </row>
    <row r="41" spans="1:8" x14ac:dyDescent="0.3">
      <c r="A41" s="87"/>
      <c r="B41" s="89" t="s">
        <v>112</v>
      </c>
      <c r="C41" s="49" t="s">
        <v>185</v>
      </c>
      <c r="D41" t="s">
        <v>91</v>
      </c>
      <c r="E41" s="46">
        <v>7</v>
      </c>
      <c r="F41" s="14" t="s">
        <v>83</v>
      </c>
      <c r="G41" s="14" t="s">
        <v>84</v>
      </c>
      <c r="H41" s="14" t="s">
        <v>85</v>
      </c>
    </row>
    <row r="42" spans="1:8" x14ac:dyDescent="0.3">
      <c r="A42" s="87"/>
      <c r="B42" s="89"/>
      <c r="C42" s="49" t="s">
        <v>186</v>
      </c>
      <c r="D42" t="s">
        <v>91</v>
      </c>
      <c r="E42" s="46">
        <v>7</v>
      </c>
      <c r="F42" s="14" t="s">
        <v>83</v>
      </c>
      <c r="G42" s="14" t="s">
        <v>84</v>
      </c>
      <c r="H42" s="14" t="s">
        <v>85</v>
      </c>
    </row>
    <row r="43" spans="1:8" x14ac:dyDescent="0.3">
      <c r="A43" s="87" t="s">
        <v>60</v>
      </c>
      <c r="B43" t="s">
        <v>76</v>
      </c>
      <c r="C43" s="49" t="s">
        <v>187</v>
      </c>
      <c r="D43" t="s">
        <v>113</v>
      </c>
      <c r="E43" s="46">
        <v>10</v>
      </c>
      <c r="F43" s="14">
        <v>100</v>
      </c>
      <c r="G43" s="14">
        <v>60</v>
      </c>
      <c r="H43" s="14">
        <v>100</v>
      </c>
    </row>
    <row r="44" spans="1:8" x14ac:dyDescent="0.3">
      <c r="A44" s="87"/>
      <c r="B44" t="s">
        <v>76</v>
      </c>
      <c r="C44" s="49" t="s">
        <v>44</v>
      </c>
      <c r="D44" t="s">
        <v>113</v>
      </c>
      <c r="E44" s="46">
        <v>10</v>
      </c>
      <c r="F44" s="14">
        <v>100</v>
      </c>
      <c r="G44" s="14">
        <v>60</v>
      </c>
      <c r="H44" s="14">
        <v>100</v>
      </c>
    </row>
    <row r="45" spans="1:8" x14ac:dyDescent="0.3">
      <c r="A45" s="87"/>
      <c r="B45" t="s">
        <v>76</v>
      </c>
      <c r="C45" s="49" t="s">
        <v>188</v>
      </c>
      <c r="D45" t="s">
        <v>113</v>
      </c>
      <c r="E45" s="46">
        <v>10</v>
      </c>
      <c r="F45" s="14">
        <v>100</v>
      </c>
      <c r="G45" s="14">
        <v>60</v>
      </c>
      <c r="H45" s="14">
        <v>100</v>
      </c>
    </row>
    <row r="46" spans="1:8" ht="16.2" x14ac:dyDescent="0.3">
      <c r="A46" s="87" t="s">
        <v>39</v>
      </c>
      <c r="B46" t="s">
        <v>76</v>
      </c>
      <c r="C46" s="49" t="s">
        <v>189</v>
      </c>
      <c r="D46" t="s">
        <v>155</v>
      </c>
      <c r="E46" s="46">
        <v>30</v>
      </c>
      <c r="F46" s="14">
        <v>100</v>
      </c>
      <c r="G46" s="14">
        <v>60</v>
      </c>
      <c r="H46" s="14">
        <v>100</v>
      </c>
    </row>
    <row r="47" spans="1:8" ht="16.2" x14ac:dyDescent="0.3">
      <c r="A47" s="87"/>
      <c r="B47" t="s">
        <v>76</v>
      </c>
      <c r="C47" s="49" t="s">
        <v>190</v>
      </c>
      <c r="D47" t="s">
        <v>155</v>
      </c>
      <c r="E47" s="46">
        <v>30</v>
      </c>
      <c r="F47" s="14">
        <v>100</v>
      </c>
      <c r="G47" s="14">
        <v>60</v>
      </c>
      <c r="H47" s="14">
        <v>100</v>
      </c>
    </row>
    <row r="48" spans="1:8" ht="16.2" x14ac:dyDescent="0.3">
      <c r="A48" s="87"/>
      <c r="B48" t="s">
        <v>76</v>
      </c>
      <c r="C48" s="49" t="s">
        <v>50</v>
      </c>
      <c r="D48" t="s">
        <v>155</v>
      </c>
      <c r="E48" s="46">
        <v>30</v>
      </c>
      <c r="F48" s="14">
        <v>100</v>
      </c>
      <c r="G48" s="14">
        <v>60</v>
      </c>
      <c r="H48" s="14">
        <v>100</v>
      </c>
    </row>
    <row r="49" spans="1:8" ht="16.2" x14ac:dyDescent="0.3">
      <c r="A49" s="87"/>
      <c r="B49" t="s">
        <v>76</v>
      </c>
      <c r="C49" s="49" t="s">
        <v>1</v>
      </c>
      <c r="D49" t="s">
        <v>155</v>
      </c>
      <c r="E49" s="46">
        <v>30</v>
      </c>
      <c r="F49" s="14">
        <v>100</v>
      </c>
      <c r="G49" s="14">
        <v>60</v>
      </c>
      <c r="H49" s="14">
        <v>100</v>
      </c>
    </row>
    <row r="50" spans="1:8" x14ac:dyDescent="0.3">
      <c r="A50" s="87" t="s">
        <v>114</v>
      </c>
      <c r="B50" t="s">
        <v>115</v>
      </c>
      <c r="C50" s="49" t="s">
        <v>115</v>
      </c>
      <c r="D50" t="s">
        <v>100</v>
      </c>
      <c r="E50" s="46">
        <v>3</v>
      </c>
      <c r="F50" s="14">
        <v>100</v>
      </c>
      <c r="G50" s="14" t="s">
        <v>83</v>
      </c>
      <c r="H50" s="14" t="s">
        <v>85</v>
      </c>
    </row>
    <row r="51" spans="1:8" x14ac:dyDescent="0.3">
      <c r="A51" s="87"/>
      <c r="B51" s="89" t="s">
        <v>116</v>
      </c>
      <c r="C51" s="49" t="s">
        <v>191</v>
      </c>
      <c r="D51" t="s">
        <v>113</v>
      </c>
      <c r="E51" s="46">
        <v>10</v>
      </c>
      <c r="F51" s="14">
        <v>100</v>
      </c>
      <c r="G51" s="14">
        <v>60</v>
      </c>
      <c r="H51" s="14">
        <v>100</v>
      </c>
    </row>
    <row r="52" spans="1:8" x14ac:dyDescent="0.3">
      <c r="A52" s="87"/>
      <c r="B52" s="89"/>
      <c r="C52" s="49" t="s">
        <v>192</v>
      </c>
      <c r="D52" t="s">
        <v>113</v>
      </c>
      <c r="E52" s="46">
        <v>10</v>
      </c>
      <c r="F52" s="14">
        <v>100</v>
      </c>
      <c r="G52" s="14">
        <v>60</v>
      </c>
      <c r="H52" s="14">
        <v>100</v>
      </c>
    </row>
    <row r="53" spans="1:8" x14ac:dyDescent="0.3">
      <c r="A53" s="87" t="s">
        <v>117</v>
      </c>
      <c r="B53" t="s">
        <v>118</v>
      </c>
      <c r="C53" s="49" t="s">
        <v>182</v>
      </c>
      <c r="D53" t="s">
        <v>156</v>
      </c>
      <c r="E53" s="46">
        <v>0</v>
      </c>
      <c r="F53" s="14" t="s">
        <v>85</v>
      </c>
      <c r="G53" s="14" t="s">
        <v>92</v>
      </c>
      <c r="H53" s="14" t="s">
        <v>85</v>
      </c>
    </row>
    <row r="54" spans="1:8" x14ac:dyDescent="0.3">
      <c r="A54" s="87"/>
      <c r="B54" s="89" t="s">
        <v>119</v>
      </c>
      <c r="C54" s="49" t="s">
        <v>193</v>
      </c>
      <c r="D54" t="s">
        <v>113</v>
      </c>
      <c r="E54" s="46">
        <v>10</v>
      </c>
      <c r="F54" s="14" t="s">
        <v>85</v>
      </c>
      <c r="G54" s="14" t="s">
        <v>83</v>
      </c>
      <c r="H54" s="14" t="s">
        <v>85</v>
      </c>
    </row>
    <row r="55" spans="1:8" x14ac:dyDescent="0.3">
      <c r="A55" s="87"/>
      <c r="B55" s="89"/>
      <c r="C55" s="49" t="s">
        <v>194</v>
      </c>
      <c r="D55" t="s">
        <v>113</v>
      </c>
      <c r="E55" s="46">
        <v>10</v>
      </c>
      <c r="F55" s="14">
        <v>100</v>
      </c>
      <c r="G55" s="14">
        <v>60</v>
      </c>
      <c r="H55" s="14">
        <v>100</v>
      </c>
    </row>
    <row r="56" spans="1:8" x14ac:dyDescent="0.3">
      <c r="A56" s="87"/>
      <c r="B56" t="s">
        <v>120</v>
      </c>
      <c r="C56" s="49" t="s">
        <v>120</v>
      </c>
      <c r="D56" t="s">
        <v>121</v>
      </c>
      <c r="E56" s="46">
        <v>4</v>
      </c>
      <c r="F56" s="14" t="s">
        <v>83</v>
      </c>
      <c r="G56" s="14" t="s">
        <v>84</v>
      </c>
      <c r="H56" s="14" t="s">
        <v>85</v>
      </c>
    </row>
    <row r="58" spans="1:8" x14ac:dyDescent="0.3">
      <c r="A58" s="45" t="s">
        <v>122</v>
      </c>
    </row>
    <row r="60" spans="1:8" x14ac:dyDescent="0.3">
      <c r="A60" t="s">
        <v>129</v>
      </c>
    </row>
    <row r="62" spans="1:8" x14ac:dyDescent="0.3">
      <c r="B62" t="s">
        <v>130</v>
      </c>
    </row>
    <row r="64" spans="1:8" x14ac:dyDescent="0.3">
      <c r="B64" t="s">
        <v>131</v>
      </c>
    </row>
    <row r="66" spans="1:2" x14ac:dyDescent="0.3">
      <c r="B66" t="s">
        <v>132</v>
      </c>
    </row>
    <row r="68" spans="1:2" x14ac:dyDescent="0.3">
      <c r="B68" t="s">
        <v>133</v>
      </c>
    </row>
    <row r="70" spans="1:2" x14ac:dyDescent="0.3">
      <c r="B70" t="s">
        <v>134</v>
      </c>
    </row>
    <row r="72" spans="1:2" s="86" customFormat="1" ht="15.75" customHeight="1" x14ac:dyDescent="0.3">
      <c r="A72" s="86" t="s">
        <v>135</v>
      </c>
    </row>
    <row r="74" spans="1:2" x14ac:dyDescent="0.3">
      <c r="A74" t="s">
        <v>136</v>
      </c>
    </row>
    <row r="76" spans="1:2" x14ac:dyDescent="0.3">
      <c r="A76" t="s">
        <v>137</v>
      </c>
    </row>
    <row r="78" spans="1:2" x14ac:dyDescent="0.3">
      <c r="A78" t="s">
        <v>138</v>
      </c>
    </row>
    <row r="80" spans="1:2" x14ac:dyDescent="0.3">
      <c r="A80" t="s">
        <v>139</v>
      </c>
    </row>
    <row r="82" spans="1:1" x14ac:dyDescent="0.3">
      <c r="A82" t="s">
        <v>140</v>
      </c>
    </row>
    <row r="84" spans="1:1" x14ac:dyDescent="0.3">
      <c r="A84" t="s">
        <v>141</v>
      </c>
    </row>
    <row r="86" spans="1:1" x14ac:dyDescent="0.3">
      <c r="A86" t="s">
        <v>142</v>
      </c>
    </row>
    <row r="88" spans="1:1" x14ac:dyDescent="0.3">
      <c r="A88" t="s">
        <v>143</v>
      </c>
    </row>
    <row r="90" spans="1:1" x14ac:dyDescent="0.3">
      <c r="A90" t="s">
        <v>144</v>
      </c>
    </row>
    <row r="92" spans="1:1" x14ac:dyDescent="0.3">
      <c r="A92" t="s">
        <v>145</v>
      </c>
    </row>
    <row r="94" spans="1:1" x14ac:dyDescent="0.3">
      <c r="A94" t="s">
        <v>146</v>
      </c>
    </row>
    <row r="96" spans="1:1" x14ac:dyDescent="0.3">
      <c r="A96" t="s">
        <v>147</v>
      </c>
    </row>
    <row r="98" spans="1:4" x14ac:dyDescent="0.3">
      <c r="A98" t="s">
        <v>148</v>
      </c>
    </row>
    <row r="100" spans="1:4" x14ac:dyDescent="0.3">
      <c r="A100" t="s">
        <v>149</v>
      </c>
    </row>
    <row r="107" spans="1:4" x14ac:dyDescent="0.3">
      <c r="D107" t="s">
        <v>150</v>
      </c>
    </row>
  </sheetData>
  <mergeCells count="25">
    <mergeCell ref="B15:B18"/>
    <mergeCell ref="B19:B20"/>
    <mergeCell ref="B54:B55"/>
    <mergeCell ref="A43:A45"/>
    <mergeCell ref="A46:A49"/>
    <mergeCell ref="B51:B52"/>
    <mergeCell ref="B37:B38"/>
    <mergeCell ref="B41:B42"/>
    <mergeCell ref="A53:A56"/>
    <mergeCell ref="A72:XFD72"/>
    <mergeCell ref="A3:A5"/>
    <mergeCell ref="A1:B1"/>
    <mergeCell ref="A21:A31"/>
    <mergeCell ref="A37:A42"/>
    <mergeCell ref="A6:A7"/>
    <mergeCell ref="A8:A10"/>
    <mergeCell ref="A11:A14"/>
    <mergeCell ref="B11:B14"/>
    <mergeCell ref="A50:A52"/>
    <mergeCell ref="A15:A20"/>
    <mergeCell ref="B21:B22"/>
    <mergeCell ref="B26:B30"/>
    <mergeCell ref="B32:B34"/>
    <mergeCell ref="B35:B36"/>
    <mergeCell ref="A32:A36"/>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D3AB-2FB3-45CC-8B9E-C42C760A50FD}">
  <dimension ref="B1:R30"/>
  <sheetViews>
    <sheetView tabSelected="1" zoomScaleNormal="100" workbookViewId="0">
      <selection activeCell="G15" sqref="G15"/>
    </sheetView>
  </sheetViews>
  <sheetFormatPr defaultColWidth="9.109375" defaultRowHeight="14.4" x14ac:dyDescent="0.3"/>
  <cols>
    <col min="1" max="1" width="9.109375" style="3"/>
    <col min="2" max="2" width="6.6640625" style="3" customWidth="1"/>
    <col min="3" max="3" width="22.6640625" style="3" customWidth="1"/>
    <col min="4" max="4" width="14" style="3" customWidth="1"/>
    <col min="5" max="5" width="18.33203125" style="3" customWidth="1"/>
    <col min="6" max="6" width="17.44140625" style="3" customWidth="1"/>
    <col min="7" max="7" width="17" style="3" bestFit="1" customWidth="1"/>
    <col min="8" max="8" width="24.44140625" style="3" customWidth="1"/>
    <col min="9" max="9" width="19.109375" style="3" customWidth="1"/>
    <col min="10" max="10" width="18" style="3" customWidth="1"/>
    <col min="11" max="11" width="22.88671875" style="3" customWidth="1"/>
    <col min="12" max="13" width="9.109375" style="3"/>
    <col min="14" max="14" width="19.44140625" style="3" customWidth="1"/>
    <col min="15" max="15" width="15.44140625" style="3" customWidth="1"/>
    <col min="16" max="17" width="18.109375" style="3" bestFit="1" customWidth="1"/>
    <col min="18" max="18" width="9.109375" style="3"/>
    <col min="19" max="19" width="44.88671875" style="3" customWidth="1"/>
    <col min="20" max="20" width="22" style="3" customWidth="1"/>
    <col min="21" max="16384" width="9.109375" style="3"/>
  </cols>
  <sheetData>
    <row r="1" spans="2:18" x14ac:dyDescent="0.3">
      <c r="B1" s="72" t="s">
        <v>210</v>
      </c>
    </row>
    <row r="2" spans="2:18" x14ac:dyDescent="0.3">
      <c r="B2" s="62" t="s">
        <v>201</v>
      </c>
      <c r="C2" s="62"/>
      <c r="D2" s="62"/>
      <c r="E2" s="62"/>
      <c r="F2" s="62"/>
      <c r="G2" s="62"/>
      <c r="H2" s="62"/>
    </row>
    <row r="3" spans="2:18" ht="15" customHeight="1" x14ac:dyDescent="0.3">
      <c r="B3" s="62" t="s">
        <v>206</v>
      </c>
      <c r="C3" s="62"/>
      <c r="D3" s="62"/>
      <c r="E3" s="62"/>
      <c r="F3" s="62"/>
    </row>
    <row r="4" spans="2:18" ht="15" customHeight="1" thickBot="1" x14ac:dyDescent="0.35"/>
    <row r="5" spans="2:18" ht="45" customHeight="1" x14ac:dyDescent="0.3">
      <c r="B5" s="91" t="s">
        <v>70</v>
      </c>
      <c r="C5" s="92"/>
      <c r="D5" s="26" t="s">
        <v>71</v>
      </c>
      <c r="E5" s="26" t="s">
        <v>72</v>
      </c>
      <c r="F5" s="27" t="s">
        <v>73</v>
      </c>
      <c r="G5" s="26" t="s">
        <v>202</v>
      </c>
      <c r="H5" s="27" t="s">
        <v>203</v>
      </c>
      <c r="R5" s="13"/>
    </row>
    <row r="6" spans="2:18" x14ac:dyDescent="0.3">
      <c r="B6" s="20">
        <v>1</v>
      </c>
      <c r="C6" s="4" t="s">
        <v>74</v>
      </c>
      <c r="D6" s="4">
        <v>3000</v>
      </c>
      <c r="E6" s="4">
        <v>32</v>
      </c>
      <c r="F6" s="23">
        <f>D6*E6</f>
        <v>96000</v>
      </c>
      <c r="G6" s="63">
        <f>'CÁLCULO PROBABILÍSTICO'!F7</f>
        <v>56.67</v>
      </c>
      <c r="H6" s="65">
        <f>F6/G6</f>
        <v>1694.0179989412386</v>
      </c>
    </row>
    <row r="7" spans="2:18" ht="15" customHeight="1" thickBot="1" x14ac:dyDescent="0.35">
      <c r="B7" s="21">
        <v>2</v>
      </c>
      <c r="C7" s="22" t="s">
        <v>75</v>
      </c>
      <c r="D7" s="22">
        <v>3000</v>
      </c>
      <c r="E7" s="22">
        <v>19</v>
      </c>
      <c r="F7" s="24">
        <f>D7*E7</f>
        <v>57000</v>
      </c>
      <c r="G7" s="64">
        <f>'CÁLCULO PROBABILÍSTICO'!F6</f>
        <v>158</v>
      </c>
      <c r="H7" s="65">
        <f>F7/G7</f>
        <v>360.75949367088606</v>
      </c>
    </row>
    <row r="8" spans="2:18" ht="15" customHeight="1" x14ac:dyDescent="0.3"/>
    <row r="9" spans="2:18" ht="15" customHeight="1" x14ac:dyDescent="0.3">
      <c r="H9" s="29"/>
      <c r="I9" s="29"/>
    </row>
    <row r="10" spans="2:18" ht="15" customHeight="1" x14ac:dyDescent="0.3">
      <c r="H10" s="5"/>
      <c r="I10" s="5"/>
    </row>
    <row r="11" spans="2:18" ht="15" customHeight="1" x14ac:dyDescent="0.3"/>
    <row r="12" spans="2:18" ht="15" customHeight="1" x14ac:dyDescent="0.3"/>
    <row r="13" spans="2:18" ht="15" customHeight="1" x14ac:dyDescent="0.3"/>
    <row r="14" spans="2:18" ht="15" customHeight="1" x14ac:dyDescent="0.3"/>
    <row r="15" spans="2:18" ht="15" customHeight="1" x14ac:dyDescent="0.3"/>
    <row r="16" spans="2:18" ht="15" customHeight="1" x14ac:dyDescent="0.3"/>
    <row r="17" spans="8:12" ht="15" customHeight="1" x14ac:dyDescent="0.3"/>
    <row r="18" spans="8:12" ht="15" customHeight="1" x14ac:dyDescent="0.3"/>
    <row r="19" spans="8:12" ht="15" customHeight="1" x14ac:dyDescent="0.3">
      <c r="H19" s="5"/>
      <c r="I19" s="5"/>
    </row>
    <row r="20" spans="8:12" ht="15" customHeight="1" x14ac:dyDescent="0.3">
      <c r="H20" s="5"/>
      <c r="I20" s="5"/>
    </row>
    <row r="21" spans="8:12" ht="15" customHeight="1" x14ac:dyDescent="0.3"/>
    <row r="22" spans="8:12" ht="15" customHeight="1" x14ac:dyDescent="0.3"/>
    <row r="23" spans="8:12" ht="15" customHeight="1" x14ac:dyDescent="0.3"/>
    <row r="24" spans="8:12" ht="15" customHeight="1" x14ac:dyDescent="0.3">
      <c r="L24" s="30"/>
    </row>
    <row r="25" spans="8:12" ht="15" customHeight="1" x14ac:dyDescent="0.3"/>
    <row r="26" spans="8:12" ht="15" customHeight="1" x14ac:dyDescent="0.3"/>
    <row r="27" spans="8:12" ht="15" customHeight="1" x14ac:dyDescent="0.3"/>
    <row r="28" spans="8:12" ht="15" customHeight="1" x14ac:dyDescent="0.3"/>
    <row r="29" spans="8:12" ht="15" customHeight="1" x14ac:dyDescent="0.3"/>
    <row r="30" spans="8:12" ht="15" customHeight="1" x14ac:dyDescent="0.3"/>
  </sheetData>
  <mergeCells count="1">
    <mergeCell ref="B5:C5"/>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41"/>
  <sheetViews>
    <sheetView zoomScale="85" zoomScaleNormal="85" workbookViewId="0">
      <selection activeCell="H18" sqref="H18"/>
    </sheetView>
  </sheetViews>
  <sheetFormatPr defaultColWidth="9.109375" defaultRowHeight="14.4" x14ac:dyDescent="0.3"/>
  <cols>
    <col min="1" max="1" width="9.109375" style="3"/>
    <col min="2" max="2" width="15.44140625" style="3" customWidth="1"/>
    <col min="3" max="3" width="26" style="3" customWidth="1"/>
    <col min="4" max="4" width="16.44140625" style="3" customWidth="1"/>
    <col min="5" max="5" width="13.6640625" style="3" customWidth="1"/>
    <col min="6" max="6" width="27.6640625" style="3" customWidth="1"/>
    <col min="7" max="7" width="9.44140625" style="3" bestFit="1" customWidth="1"/>
    <col min="8" max="8" width="11" style="3" customWidth="1"/>
    <col min="9" max="9" width="14.44140625" style="3" customWidth="1"/>
    <col min="10" max="10" width="17.88671875" style="3" bestFit="1" customWidth="1"/>
    <col min="11" max="11" width="18" style="3" customWidth="1"/>
    <col min="12" max="12" width="22.88671875" style="3" customWidth="1"/>
    <col min="13" max="13" width="9.109375" style="3"/>
    <col min="14" max="15" width="19.33203125" style="3" customWidth="1"/>
    <col min="16" max="16" width="15.44140625" style="3" customWidth="1"/>
    <col min="17" max="18" width="18.109375" style="3" bestFit="1" customWidth="1"/>
    <col min="19" max="19" width="9.109375" style="3"/>
    <col min="20" max="20" width="44.88671875" style="3" customWidth="1"/>
    <col min="21" max="21" width="21.6640625" style="3" customWidth="1"/>
    <col min="22" max="16384" width="9.109375" style="3"/>
  </cols>
  <sheetData>
    <row r="1" spans="2:19" x14ac:dyDescent="0.3">
      <c r="B1" s="72" t="s">
        <v>210</v>
      </c>
    </row>
    <row r="2" spans="2:19" x14ac:dyDescent="0.3">
      <c r="B2" s="62" t="s">
        <v>206</v>
      </c>
      <c r="C2" s="62"/>
      <c r="D2" s="62"/>
      <c r="E2" s="62"/>
      <c r="F2" s="62"/>
      <c r="G2" s="62"/>
      <c r="H2" s="62"/>
      <c r="I2" s="62"/>
      <c r="J2" s="62"/>
    </row>
    <row r="3" spans="2:19" ht="15" thickBot="1" x14ac:dyDescent="0.35">
      <c r="B3" s="70" t="s">
        <v>205</v>
      </c>
      <c r="C3" s="70"/>
      <c r="D3" s="70"/>
      <c r="E3" s="70"/>
      <c r="F3" s="70"/>
      <c r="G3" s="62"/>
      <c r="H3" s="62"/>
      <c r="I3" s="62"/>
      <c r="J3" s="62"/>
    </row>
    <row r="4" spans="2:19" ht="15" thickBot="1" x14ac:dyDescent="0.35">
      <c r="B4" s="29"/>
      <c r="C4" s="71"/>
      <c r="D4" s="71"/>
      <c r="E4" s="71"/>
      <c r="F4" s="71"/>
    </row>
    <row r="5" spans="2:19" ht="45" customHeight="1" x14ac:dyDescent="0.3">
      <c r="B5" s="25" t="s">
        <v>24</v>
      </c>
      <c r="C5" s="26" t="s">
        <v>3</v>
      </c>
      <c r="D5" s="26" t="s">
        <v>18</v>
      </c>
      <c r="E5" s="26" t="s">
        <v>19</v>
      </c>
      <c r="F5" s="26" t="s">
        <v>5</v>
      </c>
      <c r="G5" s="37" t="s">
        <v>0</v>
      </c>
      <c r="H5" s="27" t="s">
        <v>2</v>
      </c>
      <c r="I5" s="66" t="s">
        <v>204</v>
      </c>
      <c r="J5" s="38" t="s">
        <v>4</v>
      </c>
      <c r="K5" s="26" t="s">
        <v>6</v>
      </c>
      <c r="L5" s="27" t="s">
        <v>7</v>
      </c>
      <c r="N5" s="102" t="s">
        <v>28</v>
      </c>
      <c r="O5" s="103"/>
      <c r="P5" s="13"/>
      <c r="Q5" s="13"/>
      <c r="R5" s="13"/>
      <c r="S5" s="13"/>
    </row>
    <row r="6" spans="2:19" x14ac:dyDescent="0.3">
      <c r="B6" s="93" t="s">
        <v>77</v>
      </c>
      <c r="C6" s="1" t="s">
        <v>40</v>
      </c>
      <c r="D6" s="2">
        <v>158</v>
      </c>
      <c r="E6" s="4">
        <v>0</v>
      </c>
      <c r="F6" s="36">
        <f t="shared" ref="F6:F11" si="0">D6+E6</f>
        <v>158</v>
      </c>
      <c r="G6" s="1" t="s">
        <v>50</v>
      </c>
      <c r="H6" s="28">
        <f>'CÁLCULO DETERMINÍSTICO'!H7</f>
        <v>360.75949367088606</v>
      </c>
      <c r="I6" s="67"/>
      <c r="J6" s="18" t="s">
        <v>55</v>
      </c>
      <c r="K6" s="1">
        <f>20*0.7</f>
        <v>14</v>
      </c>
      <c r="L6" s="15" t="s">
        <v>57</v>
      </c>
      <c r="N6" s="99" t="s">
        <v>45</v>
      </c>
      <c r="O6" s="97"/>
      <c r="P6" s="31"/>
      <c r="Q6" s="31"/>
      <c r="R6" s="31"/>
    </row>
    <row r="7" spans="2:19" x14ac:dyDescent="0.3">
      <c r="B7" s="94"/>
      <c r="C7" s="1" t="s">
        <v>41</v>
      </c>
      <c r="D7" s="2">
        <v>56.67</v>
      </c>
      <c r="E7" s="4">
        <v>0</v>
      </c>
      <c r="F7" s="36">
        <f t="shared" si="0"/>
        <v>56.67</v>
      </c>
      <c r="G7" s="1" t="s">
        <v>1</v>
      </c>
      <c r="H7" s="28">
        <f>'CÁLCULO DETERMINÍSTICO'!H6</f>
        <v>1694.0179989412386</v>
      </c>
      <c r="I7" s="67"/>
      <c r="J7" s="18" t="s">
        <v>55</v>
      </c>
      <c r="K7" s="1">
        <f>15*0.7</f>
        <v>10.5</v>
      </c>
      <c r="L7" s="15" t="s">
        <v>57</v>
      </c>
      <c r="N7" s="99" t="s">
        <v>29</v>
      </c>
      <c r="O7" s="97"/>
      <c r="P7" s="31"/>
      <c r="Q7" s="31"/>
      <c r="R7" s="31"/>
    </row>
    <row r="8" spans="2:19" x14ac:dyDescent="0.3">
      <c r="B8" s="94"/>
      <c r="C8" s="1" t="s">
        <v>42</v>
      </c>
      <c r="D8" s="2">
        <v>182</v>
      </c>
      <c r="E8" s="4">
        <v>0</v>
      </c>
      <c r="F8" s="36">
        <f t="shared" si="0"/>
        <v>182</v>
      </c>
      <c r="G8" s="1" t="s">
        <v>44</v>
      </c>
      <c r="H8" s="28">
        <v>800</v>
      </c>
      <c r="I8" s="67"/>
      <c r="J8" s="18" t="s">
        <v>55</v>
      </c>
      <c r="K8" s="1">
        <f>20*0.7</f>
        <v>14</v>
      </c>
      <c r="L8" s="15" t="s">
        <v>57</v>
      </c>
      <c r="N8" s="96" t="s">
        <v>46</v>
      </c>
      <c r="O8" s="97"/>
    </row>
    <row r="9" spans="2:19" x14ac:dyDescent="0.3">
      <c r="B9" s="94"/>
      <c r="C9" s="1" t="s">
        <v>51</v>
      </c>
      <c r="D9" s="2">
        <v>37.15</v>
      </c>
      <c r="E9" s="4">
        <v>0</v>
      </c>
      <c r="F9" s="36">
        <f t="shared" si="0"/>
        <v>37.15</v>
      </c>
      <c r="G9" s="14" t="s">
        <v>54</v>
      </c>
      <c r="H9" s="28">
        <v>300</v>
      </c>
      <c r="I9" s="67"/>
      <c r="J9" s="18" t="s">
        <v>55</v>
      </c>
      <c r="K9" s="1">
        <f>25*0.7</f>
        <v>17.5</v>
      </c>
      <c r="L9" s="15" t="s">
        <v>57</v>
      </c>
      <c r="N9" s="96" t="s">
        <v>47</v>
      </c>
      <c r="O9" s="97"/>
    </row>
    <row r="10" spans="2:19" ht="15" thickBot="1" x14ac:dyDescent="0.35">
      <c r="B10" s="95"/>
      <c r="C10" s="1" t="s">
        <v>52</v>
      </c>
      <c r="D10" s="2">
        <v>29.25</v>
      </c>
      <c r="E10" s="4">
        <v>0</v>
      </c>
      <c r="F10" s="36">
        <f t="shared" si="0"/>
        <v>29.25</v>
      </c>
      <c r="G10" s="1" t="s">
        <v>53</v>
      </c>
      <c r="H10" s="28">
        <v>300</v>
      </c>
      <c r="I10" s="68"/>
      <c r="J10" s="19" t="s">
        <v>55</v>
      </c>
      <c r="K10" s="16">
        <f>25*0.7</f>
        <v>17.5</v>
      </c>
      <c r="L10" s="17" t="s">
        <v>57</v>
      </c>
      <c r="N10" s="96" t="s">
        <v>30</v>
      </c>
      <c r="O10" s="97"/>
    </row>
    <row r="11" spans="2:19" ht="15" thickBot="1" x14ac:dyDescent="0.35">
      <c r="B11" s="100" t="s">
        <v>20</v>
      </c>
      <c r="C11" s="101"/>
      <c r="D11" s="39">
        <f>SUM(D2:D10)</f>
        <v>463.07</v>
      </c>
      <c r="E11" s="40">
        <v>0</v>
      </c>
      <c r="F11" s="39">
        <f t="shared" si="0"/>
        <v>463.07</v>
      </c>
      <c r="G11" s="41" t="s">
        <v>76</v>
      </c>
      <c r="H11" s="42">
        <f>SUMPRODUCT(F6:F10,H6:H10)/F11</f>
        <v>687.84417042779705</v>
      </c>
      <c r="I11" s="69"/>
      <c r="J11" s="8"/>
      <c r="K11" s="108"/>
      <c r="L11" s="108"/>
      <c r="N11" s="96" t="s">
        <v>31</v>
      </c>
      <c r="O11" s="97"/>
    </row>
    <row r="12" spans="2:19" x14ac:dyDescent="0.3">
      <c r="B12" s="29"/>
      <c r="C12" s="8"/>
      <c r="D12" s="9"/>
      <c r="E12" s="31"/>
      <c r="F12" s="9"/>
      <c r="G12" s="8"/>
      <c r="H12" s="9"/>
      <c r="I12" s="9"/>
      <c r="J12" s="8"/>
      <c r="K12" s="8"/>
      <c r="L12" s="8"/>
      <c r="N12" s="96" t="s">
        <v>32</v>
      </c>
      <c r="O12" s="97"/>
    </row>
    <row r="13" spans="2:19" x14ac:dyDescent="0.3">
      <c r="B13" s="29"/>
      <c r="C13" s="8"/>
      <c r="D13" s="9"/>
      <c r="E13" s="31"/>
      <c r="F13" s="9"/>
      <c r="G13" s="8"/>
      <c r="H13" s="9"/>
      <c r="I13" s="9"/>
      <c r="J13" s="8"/>
      <c r="K13" s="8"/>
      <c r="L13" s="8"/>
      <c r="N13" s="96" t="s">
        <v>48</v>
      </c>
      <c r="O13" s="97"/>
    </row>
    <row r="14" spans="2:19" x14ac:dyDescent="0.3">
      <c r="B14" s="29"/>
      <c r="C14" s="8"/>
      <c r="D14" s="9"/>
      <c r="E14" s="31"/>
      <c r="F14" s="9"/>
      <c r="G14" s="8"/>
      <c r="H14" s="9"/>
      <c r="I14" s="9"/>
      <c r="J14" s="8"/>
      <c r="K14" s="8"/>
      <c r="L14" s="8"/>
      <c r="N14" s="96" t="s">
        <v>22</v>
      </c>
      <c r="O14" s="97"/>
    </row>
    <row r="15" spans="2:19" x14ac:dyDescent="0.3">
      <c r="B15" s="29"/>
      <c r="C15" s="8"/>
      <c r="D15" s="9"/>
      <c r="E15" s="31"/>
      <c r="F15" s="9"/>
      <c r="G15" s="8"/>
      <c r="H15" s="9"/>
      <c r="I15" s="9"/>
      <c r="J15" s="8"/>
      <c r="K15" s="8"/>
      <c r="L15" s="8"/>
      <c r="N15" s="96" t="s">
        <v>33</v>
      </c>
      <c r="O15" s="97"/>
    </row>
    <row r="16" spans="2:19" x14ac:dyDescent="0.3">
      <c r="B16" s="6"/>
      <c r="C16" s="8"/>
      <c r="D16" s="8"/>
      <c r="E16" s="31"/>
      <c r="F16" s="9"/>
      <c r="G16" s="32"/>
      <c r="H16" s="9"/>
      <c r="I16" s="9"/>
      <c r="J16" s="8"/>
      <c r="K16" s="8"/>
      <c r="L16" s="8"/>
      <c r="N16" s="96" t="s">
        <v>23</v>
      </c>
      <c r="O16" s="97"/>
    </row>
    <row r="17" spans="2:21" ht="15" thickBot="1" x14ac:dyDescent="0.35">
      <c r="B17" s="33"/>
      <c r="C17" s="33"/>
      <c r="D17" s="34"/>
      <c r="E17" s="34"/>
      <c r="F17" s="34"/>
      <c r="G17" s="8"/>
      <c r="H17" s="34"/>
      <c r="I17" s="34"/>
      <c r="J17" s="9"/>
      <c r="K17" s="8"/>
      <c r="N17" s="106" t="s">
        <v>49</v>
      </c>
      <c r="O17" s="107"/>
    </row>
    <row r="18" spans="2:21" x14ac:dyDescent="0.3">
      <c r="F18" s="35"/>
      <c r="H18" s="35"/>
      <c r="I18" s="35"/>
    </row>
    <row r="19" spans="2:21" x14ac:dyDescent="0.3">
      <c r="E19" s="104"/>
      <c r="F19" s="105"/>
    </row>
    <row r="20" spans="2:21" ht="15" customHeight="1" x14ac:dyDescent="0.3">
      <c r="B20" s="30"/>
      <c r="E20" s="98"/>
      <c r="F20" s="98"/>
      <c r="G20" s="30"/>
      <c r="H20" s="30"/>
      <c r="I20" s="30"/>
    </row>
    <row r="21" spans="2:21" ht="15" customHeight="1" x14ac:dyDescent="0.3">
      <c r="E21" s="98"/>
      <c r="F21" s="98"/>
    </row>
    <row r="22" spans="2:21" x14ac:dyDescent="0.3">
      <c r="B22" s="30"/>
      <c r="E22" s="98"/>
      <c r="F22" s="98"/>
    </row>
    <row r="23" spans="2:21" x14ac:dyDescent="0.3">
      <c r="B23" s="30"/>
      <c r="E23" s="98"/>
      <c r="F23" s="98"/>
    </row>
    <row r="24" spans="2:21" x14ac:dyDescent="0.3">
      <c r="B24" s="30"/>
      <c r="G24" s="30"/>
      <c r="H24" s="30"/>
      <c r="I24" s="30"/>
      <c r="J24" s="30"/>
      <c r="M24" s="30"/>
    </row>
    <row r="25" spans="2:21" x14ac:dyDescent="0.3">
      <c r="E25" s="98"/>
      <c r="F25" s="98"/>
      <c r="T25" s="13"/>
      <c r="U25" s="8"/>
    </row>
    <row r="26" spans="2:21" x14ac:dyDescent="0.3">
      <c r="B26" s="30"/>
      <c r="E26" s="98"/>
      <c r="F26" s="98"/>
      <c r="T26" s="13"/>
      <c r="U26" s="9"/>
    </row>
    <row r="27" spans="2:21" x14ac:dyDescent="0.3">
      <c r="B27" s="30"/>
      <c r="T27" s="13"/>
      <c r="U27" s="9"/>
    </row>
    <row r="28" spans="2:21" x14ac:dyDescent="0.3">
      <c r="B28" s="30"/>
    </row>
    <row r="29" spans="2:21" x14ac:dyDescent="0.3">
      <c r="B29" s="30"/>
      <c r="T29" s="13"/>
      <c r="U29" s="8"/>
    </row>
    <row r="30" spans="2:21" x14ac:dyDescent="0.3">
      <c r="B30" s="30"/>
      <c r="T30" s="13"/>
      <c r="U30" s="9"/>
    </row>
    <row r="31" spans="2:21" x14ac:dyDescent="0.3">
      <c r="B31" s="30"/>
      <c r="E31" s="98"/>
      <c r="F31" s="98"/>
      <c r="T31" s="13"/>
      <c r="U31" s="9"/>
    </row>
    <row r="32" spans="2:21" x14ac:dyDescent="0.3">
      <c r="B32" s="30"/>
      <c r="C32" s="98"/>
      <c r="D32" s="98"/>
    </row>
    <row r="33" spans="3:21" x14ac:dyDescent="0.3">
      <c r="C33" s="98"/>
      <c r="D33" s="98"/>
      <c r="T33" s="13"/>
      <c r="U33" s="8"/>
    </row>
    <row r="34" spans="3:21" x14ac:dyDescent="0.3">
      <c r="C34" s="98"/>
      <c r="D34" s="98"/>
      <c r="T34" s="13"/>
      <c r="U34" s="9"/>
    </row>
    <row r="35" spans="3:21" x14ac:dyDescent="0.3">
      <c r="C35" s="98"/>
      <c r="D35" s="98"/>
      <c r="T35" s="13"/>
      <c r="U35" s="9"/>
    </row>
    <row r="36" spans="3:21" x14ac:dyDescent="0.3">
      <c r="C36" s="98"/>
      <c r="D36" s="98"/>
    </row>
    <row r="37" spans="3:21" x14ac:dyDescent="0.3">
      <c r="C37" s="98"/>
      <c r="D37" s="98"/>
    </row>
    <row r="38" spans="3:21" x14ac:dyDescent="0.3">
      <c r="C38" s="98"/>
      <c r="D38" s="98"/>
    </row>
    <row r="39" spans="3:21" x14ac:dyDescent="0.3">
      <c r="C39" s="98"/>
      <c r="D39" s="98"/>
    </row>
    <row r="40" spans="3:21" x14ac:dyDescent="0.3">
      <c r="C40" s="98"/>
      <c r="D40" s="98"/>
    </row>
    <row r="41" spans="3:21" x14ac:dyDescent="0.3">
      <c r="C41" s="98"/>
      <c r="D41" s="98"/>
    </row>
  </sheetData>
  <mergeCells count="34">
    <mergeCell ref="C41:D41"/>
    <mergeCell ref="C35:D35"/>
    <mergeCell ref="C36:D36"/>
    <mergeCell ref="C37:D37"/>
    <mergeCell ref="C38:D38"/>
    <mergeCell ref="C39:D39"/>
    <mergeCell ref="C40:D40"/>
    <mergeCell ref="C32:D32"/>
    <mergeCell ref="C33:D33"/>
    <mergeCell ref="C34:D34"/>
    <mergeCell ref="E31:F31"/>
    <mergeCell ref="E26:F26"/>
    <mergeCell ref="N5:O5"/>
    <mergeCell ref="E20:F20"/>
    <mergeCell ref="E25:F25"/>
    <mergeCell ref="E19:F19"/>
    <mergeCell ref="N15:O15"/>
    <mergeCell ref="N13:O13"/>
    <mergeCell ref="N14:O14"/>
    <mergeCell ref="E23:F23"/>
    <mergeCell ref="N16:O16"/>
    <mergeCell ref="N17:O17"/>
    <mergeCell ref="K11:L11"/>
    <mergeCell ref="B6:B10"/>
    <mergeCell ref="N11:O11"/>
    <mergeCell ref="N12:O12"/>
    <mergeCell ref="E21:F21"/>
    <mergeCell ref="E22:F22"/>
    <mergeCell ref="N6:O6"/>
    <mergeCell ref="N7:O7"/>
    <mergeCell ref="N8:O8"/>
    <mergeCell ref="N9:O9"/>
    <mergeCell ref="N10:O10"/>
    <mergeCell ref="B11:C11"/>
  </mergeCells>
  <phoneticPr fontId="2"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T45"/>
  <sheetViews>
    <sheetView zoomScaleNormal="100" workbookViewId="0">
      <selection activeCell="T11" sqref="T11"/>
    </sheetView>
  </sheetViews>
  <sheetFormatPr defaultColWidth="9.109375" defaultRowHeight="14.4" x14ac:dyDescent="0.3"/>
  <cols>
    <col min="1" max="1" width="9.109375" style="3"/>
    <col min="2" max="2" width="10.5546875" style="3" customWidth="1"/>
    <col min="3" max="3" width="12.109375" style="3" bestFit="1" customWidth="1"/>
    <col min="4" max="4" width="6.6640625" style="3" bestFit="1" customWidth="1"/>
    <col min="5" max="5" width="8.6640625" style="3" bestFit="1" customWidth="1"/>
    <col min="6" max="6" width="29" style="3" customWidth="1"/>
    <col min="7" max="7" width="9.33203125" style="3" bestFit="1" customWidth="1"/>
    <col min="8" max="8" width="8.5546875" style="3" customWidth="1"/>
    <col min="9" max="9" width="5" style="3" bestFit="1" customWidth="1"/>
    <col min="10" max="10" width="5.33203125" style="3" customWidth="1"/>
    <col min="11" max="11" width="5" style="3" bestFit="1" customWidth="1"/>
    <col min="12" max="12" width="4.88671875" style="3" customWidth="1"/>
    <col min="13" max="13" width="4.6640625" style="3" bestFit="1" customWidth="1"/>
    <col min="14" max="14" width="4.77734375" style="3" bestFit="1" customWidth="1"/>
    <col min="15" max="15" width="4.5546875" style="3" customWidth="1"/>
    <col min="16" max="16" width="4.6640625" style="3" customWidth="1"/>
    <col min="17" max="17" width="4.77734375" style="3" bestFit="1" customWidth="1"/>
    <col min="18" max="18" width="9.109375" style="3"/>
    <col min="19" max="19" width="9" style="3" bestFit="1" customWidth="1"/>
    <col min="20" max="20" width="27.88671875" style="3" bestFit="1" customWidth="1"/>
    <col min="21" max="21" width="7.6640625" style="3" bestFit="1" customWidth="1"/>
    <col min="22" max="32" width="9.109375" style="3"/>
    <col min="33" max="33" width="12" style="3" customWidth="1"/>
    <col min="34" max="34" width="27.88671875" style="3" bestFit="1" customWidth="1"/>
    <col min="35" max="35" width="10.88671875" style="3" customWidth="1"/>
    <col min="36" max="36" width="11.109375" style="3" customWidth="1"/>
    <col min="37" max="37" width="12.88671875" style="3" bestFit="1" customWidth="1"/>
    <col min="38" max="16384" width="9.109375" style="3"/>
  </cols>
  <sheetData>
    <row r="1" spans="2:46" x14ac:dyDescent="0.3">
      <c r="B1" s="72" t="s">
        <v>210</v>
      </c>
      <c r="C1" s="8"/>
      <c r="D1" s="9"/>
      <c r="E1" s="9"/>
      <c r="F1" s="8"/>
      <c r="G1" s="8"/>
      <c r="H1" s="8"/>
      <c r="I1" s="8"/>
      <c r="J1" s="8"/>
      <c r="K1" s="8"/>
      <c r="L1" s="8"/>
      <c r="M1" s="9"/>
      <c r="N1" s="9"/>
      <c r="P1" s="8"/>
      <c r="Q1" s="8"/>
      <c r="S1" s="8"/>
      <c r="T1" s="8"/>
      <c r="U1" s="9"/>
      <c r="V1" s="9"/>
      <c r="W1" s="8"/>
      <c r="X1" s="8"/>
      <c r="Y1" s="8"/>
      <c r="Z1" s="8"/>
      <c r="AA1" s="8"/>
      <c r="AB1" s="8"/>
      <c r="AC1" s="8"/>
      <c r="AD1" s="9"/>
      <c r="AE1" s="9"/>
      <c r="AG1" s="8"/>
      <c r="AH1" s="8"/>
      <c r="AI1" s="9"/>
      <c r="AK1" s="8"/>
      <c r="AT1" s="8"/>
    </row>
    <row r="2" spans="2:46" x14ac:dyDescent="0.3">
      <c r="B2" s="115" t="s">
        <v>200</v>
      </c>
      <c r="C2" s="115"/>
      <c r="D2" s="115"/>
      <c r="E2" s="115"/>
      <c r="F2" s="115"/>
      <c r="G2" s="115"/>
      <c r="H2" s="115"/>
      <c r="I2" s="115"/>
      <c r="J2" s="115"/>
      <c r="K2" s="115"/>
      <c r="L2" s="115"/>
      <c r="M2" s="115"/>
      <c r="N2" s="115"/>
      <c r="O2" s="115"/>
      <c r="P2" s="115"/>
      <c r="Q2" s="115"/>
      <c r="S2" s="8"/>
      <c r="T2" s="8"/>
      <c r="U2" s="9"/>
      <c r="V2" s="9"/>
      <c r="W2" s="8"/>
      <c r="X2" s="8"/>
      <c r="Y2" s="8"/>
      <c r="Z2" s="8"/>
      <c r="AA2" s="8"/>
      <c r="AB2" s="8"/>
      <c r="AC2" s="8"/>
      <c r="AD2" s="9"/>
      <c r="AE2" s="9"/>
      <c r="AG2" s="8"/>
      <c r="AH2" s="8"/>
      <c r="AI2" s="9"/>
      <c r="AK2" s="8"/>
      <c r="AT2" s="8"/>
    </row>
    <row r="3" spans="2:46" x14ac:dyDescent="0.3">
      <c r="B3" s="115"/>
      <c r="C3" s="115"/>
      <c r="D3" s="115"/>
      <c r="E3" s="115"/>
      <c r="F3" s="115"/>
      <c r="G3" s="115"/>
      <c r="H3" s="115"/>
      <c r="I3" s="115"/>
      <c r="J3" s="115"/>
      <c r="K3" s="115"/>
      <c r="L3" s="115"/>
      <c r="M3" s="115"/>
      <c r="N3" s="115"/>
      <c r="O3" s="115"/>
      <c r="P3" s="115"/>
      <c r="Q3" s="115"/>
      <c r="S3" s="8"/>
      <c r="T3" s="8"/>
      <c r="U3" s="9"/>
      <c r="V3" s="9"/>
      <c r="W3" s="8"/>
      <c r="X3" s="8"/>
      <c r="Y3" s="8"/>
      <c r="Z3" s="8"/>
      <c r="AA3" s="8"/>
      <c r="AB3" s="8"/>
      <c r="AC3" s="8"/>
      <c r="AD3" s="9"/>
      <c r="AE3" s="9"/>
      <c r="AG3" s="8"/>
      <c r="AH3" s="8"/>
      <c r="AI3" s="9"/>
      <c r="AK3" s="8"/>
      <c r="AT3" s="8"/>
    </row>
    <row r="4" spans="2:46" x14ac:dyDescent="0.3">
      <c r="B4" s="115"/>
      <c r="C4" s="115"/>
      <c r="D4" s="115"/>
      <c r="E4" s="115"/>
      <c r="F4" s="115"/>
      <c r="G4" s="115"/>
      <c r="H4" s="115"/>
      <c r="I4" s="115"/>
      <c r="J4" s="115"/>
      <c r="K4" s="115"/>
      <c r="L4" s="115"/>
      <c r="M4" s="115"/>
      <c r="N4" s="115"/>
      <c r="O4" s="115"/>
      <c r="P4" s="115"/>
      <c r="Q4" s="115"/>
      <c r="S4" s="8"/>
      <c r="T4" s="8"/>
      <c r="U4" s="9"/>
      <c r="V4" s="9"/>
      <c r="W4" s="8"/>
      <c r="X4" s="8"/>
      <c r="Y4" s="8"/>
      <c r="Z4" s="8"/>
      <c r="AA4" s="8"/>
      <c r="AB4" s="8"/>
      <c r="AC4" s="9"/>
      <c r="AD4" s="9"/>
      <c r="AE4" s="9"/>
      <c r="AG4" s="8"/>
      <c r="AH4" s="8"/>
      <c r="AI4" s="9"/>
      <c r="AK4" s="9"/>
      <c r="AT4" s="9"/>
    </row>
    <row r="5" spans="2:46" x14ac:dyDescent="0.3">
      <c r="B5" s="113" t="s">
        <v>198</v>
      </c>
      <c r="C5" s="113"/>
      <c r="D5" s="113"/>
      <c r="E5" s="113"/>
      <c r="F5" s="113"/>
      <c r="G5" s="113"/>
      <c r="H5" s="113"/>
      <c r="I5" s="113"/>
      <c r="J5" s="113"/>
      <c r="K5" s="113"/>
      <c r="L5" s="113"/>
      <c r="M5" s="113"/>
      <c r="N5" s="113"/>
      <c r="O5" s="113"/>
      <c r="P5" s="113"/>
      <c r="Q5" s="113"/>
      <c r="S5" s="8"/>
      <c r="T5" s="8"/>
      <c r="U5" s="9"/>
      <c r="V5" s="9"/>
      <c r="W5" s="8"/>
      <c r="X5" s="9"/>
      <c r="Y5" s="9"/>
      <c r="Z5" s="8"/>
      <c r="AA5" s="9"/>
      <c r="AB5" s="9"/>
      <c r="AC5" s="8"/>
      <c r="AD5" s="9"/>
      <c r="AE5" s="9"/>
      <c r="AG5" s="8"/>
      <c r="AH5" s="8"/>
      <c r="AI5" s="9"/>
      <c r="AK5" s="8"/>
      <c r="AT5" s="8"/>
    </row>
    <row r="6" spans="2:46" x14ac:dyDescent="0.3">
      <c r="B6" s="113"/>
      <c r="C6" s="113"/>
      <c r="D6" s="113"/>
      <c r="E6" s="113"/>
      <c r="F6" s="113"/>
      <c r="G6" s="113"/>
      <c r="H6" s="113"/>
      <c r="I6" s="113"/>
      <c r="J6" s="113"/>
      <c r="K6" s="113"/>
      <c r="L6" s="113"/>
      <c r="M6" s="113"/>
      <c r="N6" s="113"/>
      <c r="O6" s="113"/>
      <c r="P6" s="113"/>
      <c r="Q6" s="113"/>
      <c r="S6" s="8"/>
      <c r="T6" s="8"/>
      <c r="U6" s="9"/>
      <c r="V6" s="9"/>
      <c r="W6" s="8"/>
      <c r="X6" s="9"/>
      <c r="Y6" s="9"/>
      <c r="Z6" s="8"/>
      <c r="AA6" s="9"/>
      <c r="AB6" s="9"/>
      <c r="AC6" s="8"/>
      <c r="AD6" s="9"/>
      <c r="AE6" s="9"/>
      <c r="AG6" s="8"/>
      <c r="AH6" s="8"/>
      <c r="AI6" s="9"/>
      <c r="AK6" s="8"/>
      <c r="AT6" s="8"/>
    </row>
    <row r="7" spans="2:46" x14ac:dyDescent="0.3">
      <c r="B7" s="113"/>
      <c r="C7" s="113"/>
      <c r="D7" s="113"/>
      <c r="E7" s="113"/>
      <c r="F7" s="113"/>
      <c r="G7" s="113"/>
      <c r="H7" s="113"/>
      <c r="I7" s="113"/>
      <c r="J7" s="113"/>
      <c r="K7" s="113"/>
      <c r="L7" s="113"/>
      <c r="M7" s="113"/>
      <c r="N7" s="113"/>
      <c r="O7" s="113"/>
      <c r="P7" s="113"/>
      <c r="Q7" s="113"/>
      <c r="S7" s="8"/>
      <c r="T7" s="8"/>
      <c r="U7" s="9"/>
      <c r="V7" s="9"/>
      <c r="W7" s="8"/>
      <c r="X7" s="9"/>
      <c r="Y7" s="9"/>
      <c r="Z7" s="8"/>
      <c r="AA7" s="9"/>
      <c r="AB7" s="9"/>
      <c r="AC7" s="8"/>
      <c r="AD7" s="9"/>
      <c r="AE7" s="9"/>
      <c r="AG7" s="8"/>
      <c r="AH7" s="8"/>
      <c r="AI7" s="9"/>
      <c r="AK7" s="8"/>
      <c r="AT7" s="8"/>
    </row>
    <row r="8" spans="2:46" x14ac:dyDescent="0.3">
      <c r="B8" s="114" t="s">
        <v>199</v>
      </c>
      <c r="C8" s="114"/>
      <c r="D8" s="114"/>
      <c r="E8" s="114"/>
      <c r="F8" s="114"/>
      <c r="G8" s="114"/>
      <c r="H8" s="114"/>
      <c r="I8" s="114"/>
      <c r="J8" s="114"/>
      <c r="K8" s="114"/>
      <c r="L8" s="114"/>
      <c r="M8" s="114"/>
      <c r="N8" s="114"/>
      <c r="O8" s="114"/>
      <c r="P8" s="114"/>
      <c r="Q8" s="114"/>
      <c r="S8" s="8"/>
      <c r="T8" s="8"/>
      <c r="U8" s="9"/>
      <c r="V8" s="9"/>
      <c r="W8" s="8"/>
      <c r="X8" s="9"/>
      <c r="Y8" s="9"/>
      <c r="Z8" s="8"/>
      <c r="AA8" s="9"/>
      <c r="AB8" s="9"/>
      <c r="AC8" s="8"/>
      <c r="AD8" s="9"/>
      <c r="AE8" s="9"/>
      <c r="AG8" s="8"/>
      <c r="AH8" s="8"/>
      <c r="AI8" s="9"/>
      <c r="AK8" s="8"/>
      <c r="AT8" s="8"/>
    </row>
    <row r="9" spans="2:46" x14ac:dyDescent="0.3">
      <c r="B9" s="114"/>
      <c r="C9" s="114"/>
      <c r="D9" s="114"/>
      <c r="E9" s="114"/>
      <c r="F9" s="114"/>
      <c r="G9" s="114"/>
      <c r="H9" s="114"/>
      <c r="I9" s="114"/>
      <c r="J9" s="114"/>
      <c r="K9" s="114"/>
      <c r="L9" s="114"/>
      <c r="M9" s="114"/>
      <c r="N9" s="114"/>
      <c r="O9" s="114"/>
      <c r="P9" s="114"/>
      <c r="Q9" s="114"/>
      <c r="S9" s="8"/>
      <c r="T9" s="8"/>
      <c r="U9" s="9"/>
      <c r="V9" s="9"/>
      <c r="W9" s="8"/>
      <c r="X9" s="9"/>
      <c r="Y9" s="9"/>
      <c r="Z9" s="8"/>
      <c r="AA9" s="9"/>
      <c r="AB9" s="9"/>
      <c r="AC9" s="8"/>
      <c r="AD9" s="9"/>
      <c r="AE9" s="9"/>
      <c r="AG9" s="8"/>
      <c r="AH9" s="8"/>
      <c r="AI9" s="9"/>
      <c r="AK9" s="8"/>
      <c r="AT9" s="8"/>
    </row>
    <row r="10" spans="2:46" x14ac:dyDescent="0.3">
      <c r="B10" s="114"/>
      <c r="C10" s="114"/>
      <c r="D10" s="114"/>
      <c r="E10" s="114"/>
      <c r="F10" s="114"/>
      <c r="G10" s="114"/>
      <c r="H10" s="114"/>
      <c r="I10" s="114"/>
      <c r="J10" s="114"/>
      <c r="K10" s="114"/>
      <c r="L10" s="114"/>
      <c r="M10" s="114"/>
      <c r="N10" s="114"/>
      <c r="O10" s="114"/>
      <c r="P10" s="114"/>
      <c r="Q10" s="114"/>
      <c r="S10" s="8"/>
      <c r="T10" s="8"/>
      <c r="U10" s="9"/>
      <c r="V10" s="9"/>
      <c r="W10" s="8"/>
      <c r="X10" s="9"/>
      <c r="Y10" s="9"/>
      <c r="Z10" s="8"/>
      <c r="AA10" s="9"/>
      <c r="AB10" s="9"/>
      <c r="AC10" s="8"/>
      <c r="AD10" s="9"/>
      <c r="AE10" s="9"/>
      <c r="AG10" s="8"/>
      <c r="AH10" s="8"/>
      <c r="AI10" s="9"/>
      <c r="AK10" s="8"/>
      <c r="AT10" s="8"/>
    </row>
    <row r="11" spans="2:46" x14ac:dyDescent="0.3">
      <c r="B11" s="110" t="s">
        <v>211</v>
      </c>
      <c r="C11" s="110"/>
      <c r="D11" s="110"/>
      <c r="E11" s="110"/>
      <c r="F11" s="110"/>
      <c r="G11" s="110"/>
      <c r="H11" s="110"/>
      <c r="I11" s="110"/>
      <c r="J11" s="110"/>
      <c r="K11" s="110"/>
      <c r="L11" s="110"/>
      <c r="M11" s="110"/>
      <c r="N11" s="110"/>
      <c r="O11" s="110"/>
      <c r="P11" s="110"/>
      <c r="Q11" s="110"/>
    </row>
    <row r="12" spans="2:46" ht="15" thickBot="1" x14ac:dyDescent="0.35">
      <c r="B12" s="111"/>
      <c r="C12" s="111"/>
      <c r="D12" s="111"/>
      <c r="E12" s="111"/>
      <c r="F12" s="111"/>
      <c r="G12" s="111"/>
      <c r="H12" s="111"/>
      <c r="I12" s="111"/>
      <c r="J12" s="111"/>
      <c r="K12" s="111"/>
      <c r="L12" s="111"/>
      <c r="M12" s="111"/>
      <c r="N12" s="111"/>
      <c r="O12" s="111"/>
      <c r="P12" s="111"/>
      <c r="Q12" s="111"/>
    </row>
    <row r="13" spans="2:46" ht="15" thickBot="1" x14ac:dyDescent="0.35">
      <c r="B13" s="85"/>
      <c r="C13" s="85"/>
      <c r="D13" s="85"/>
      <c r="E13" s="85"/>
      <c r="F13" s="85"/>
      <c r="G13" s="85"/>
      <c r="H13" s="85"/>
      <c r="I13" s="85"/>
      <c r="J13" s="85"/>
      <c r="K13" s="85"/>
      <c r="L13" s="85"/>
      <c r="M13" s="85"/>
      <c r="N13" s="85"/>
      <c r="O13" s="85"/>
      <c r="P13" s="85"/>
      <c r="Q13" s="85"/>
    </row>
    <row r="14" spans="2:46" ht="14.4" customHeight="1" x14ac:dyDescent="0.3">
      <c r="B14" s="118" t="s">
        <v>8</v>
      </c>
      <c r="C14" s="119"/>
      <c r="D14" s="119"/>
      <c r="E14" s="119"/>
      <c r="F14" s="119" t="s">
        <v>9</v>
      </c>
      <c r="G14" s="123"/>
      <c r="H14" s="118" t="s">
        <v>10</v>
      </c>
      <c r="I14" s="119"/>
      <c r="J14" s="119"/>
      <c r="K14" s="119"/>
      <c r="L14" s="119"/>
      <c r="M14" s="119"/>
      <c r="N14" s="119"/>
      <c r="O14" s="119"/>
      <c r="P14" s="119"/>
      <c r="Q14" s="123"/>
      <c r="S14" s="112"/>
      <c r="T14" s="112"/>
      <c r="U14" s="112"/>
      <c r="V14" s="112"/>
      <c r="W14" s="112"/>
      <c r="X14" s="112"/>
      <c r="Y14" s="112"/>
      <c r="Z14" s="112"/>
      <c r="AA14" s="112"/>
      <c r="AB14" s="112"/>
      <c r="AC14" s="112"/>
      <c r="AD14" s="112"/>
      <c r="AE14" s="112"/>
      <c r="AF14" s="5"/>
      <c r="AG14" s="112"/>
      <c r="AH14" s="112"/>
      <c r="AI14" s="112"/>
      <c r="AJ14" s="112"/>
    </row>
    <row r="15" spans="2:46" ht="29.4" customHeight="1" x14ac:dyDescent="0.3">
      <c r="B15" s="120"/>
      <c r="C15" s="121"/>
      <c r="D15" s="121"/>
      <c r="E15" s="121"/>
      <c r="F15" s="121"/>
      <c r="G15" s="122"/>
      <c r="H15" s="116" t="s">
        <v>21</v>
      </c>
      <c r="I15" s="121" t="s">
        <v>11</v>
      </c>
      <c r="J15" s="121"/>
      <c r="K15" s="121"/>
      <c r="L15" s="121" t="s">
        <v>12</v>
      </c>
      <c r="M15" s="121"/>
      <c r="N15" s="121"/>
      <c r="O15" s="121" t="s">
        <v>13</v>
      </c>
      <c r="P15" s="121"/>
      <c r="Q15" s="122"/>
      <c r="S15" s="112"/>
      <c r="T15" s="112"/>
      <c r="U15" s="112"/>
      <c r="V15" s="112"/>
      <c r="W15" s="112"/>
      <c r="X15" s="112"/>
      <c r="Y15" s="112"/>
      <c r="Z15" s="112"/>
      <c r="AA15" s="112"/>
      <c r="AB15" s="112"/>
      <c r="AC15" s="112"/>
      <c r="AD15" s="112"/>
      <c r="AE15" s="112"/>
      <c r="AG15" s="112"/>
      <c r="AH15" s="112"/>
      <c r="AI15" s="112"/>
      <c r="AJ15" s="112"/>
    </row>
    <row r="16" spans="2:46" ht="41.4" x14ac:dyDescent="0.3">
      <c r="B16" s="56" t="s">
        <v>24</v>
      </c>
      <c r="C16" s="58" t="s">
        <v>3</v>
      </c>
      <c r="D16" s="59" t="s">
        <v>14</v>
      </c>
      <c r="E16" s="59" t="s">
        <v>0</v>
      </c>
      <c r="F16" s="59" t="s">
        <v>15</v>
      </c>
      <c r="G16" s="60" t="s">
        <v>16</v>
      </c>
      <c r="H16" s="117"/>
      <c r="I16" s="59" t="s">
        <v>196</v>
      </c>
      <c r="J16" s="59" t="s">
        <v>17</v>
      </c>
      <c r="K16" s="59" t="s">
        <v>197</v>
      </c>
      <c r="L16" s="59" t="s">
        <v>196</v>
      </c>
      <c r="M16" s="59" t="s">
        <v>17</v>
      </c>
      <c r="N16" s="59" t="s">
        <v>197</v>
      </c>
      <c r="O16" s="59" t="s">
        <v>196</v>
      </c>
      <c r="P16" s="59" t="s">
        <v>17</v>
      </c>
      <c r="Q16" s="59" t="s">
        <v>197</v>
      </c>
      <c r="S16" s="6"/>
      <c r="T16" s="6"/>
      <c r="U16" s="6"/>
      <c r="V16" s="6"/>
      <c r="W16" s="6"/>
      <c r="X16" s="6"/>
      <c r="Y16" s="6"/>
      <c r="Z16" s="6"/>
      <c r="AA16" s="6"/>
      <c r="AB16" s="6"/>
      <c r="AC16" s="6"/>
      <c r="AD16" s="6"/>
      <c r="AE16" s="6"/>
      <c r="AG16" s="6"/>
      <c r="AH16" s="6"/>
      <c r="AI16" s="6"/>
      <c r="AJ16" s="7"/>
      <c r="AK16" s="6"/>
      <c r="AT16" s="6"/>
    </row>
    <row r="17" spans="2:46" ht="28.8" x14ac:dyDescent="0.3">
      <c r="B17" s="124" t="s">
        <v>77</v>
      </c>
      <c r="C17" s="61" t="s">
        <v>40</v>
      </c>
      <c r="D17" s="12">
        <f>'CÁLCULO PROBABILÍSTICO'!F6</f>
        <v>158</v>
      </c>
      <c r="E17" s="11" t="s">
        <v>50</v>
      </c>
      <c r="F17" s="51" t="str">
        <f>VLOOKUP(E17,'NPT 011 - Anexo A - Tabela 1'!$C$3:$H$56,2,FALSE)</f>
        <v>Uma pessoa por 30,0 m² de área (I)</v>
      </c>
      <c r="G17" s="57">
        <f>ROUNDUP(IF(VLOOKUP(E17,'NPT 011 - Anexo A - Tabela 1'!$C$3:$E$56,3,FALSE)=0,"Ver índice de cálculo",D17/VLOOKUP(E17,'NPT 011 - Anexo A - Tabela 1'!$C$3:$E$56,3,FALSE)),0)</f>
        <v>6</v>
      </c>
      <c r="H17" s="11">
        <v>35</v>
      </c>
      <c r="I17" s="50">
        <f>VLOOKUP(E17,'NPT 011 - Anexo A - Tabela 1'!$C$3:$H$56,4,FALSE)</f>
        <v>100</v>
      </c>
      <c r="J17" s="43">
        <f>ROUNDUP((G17/I17),0)</f>
        <v>1</v>
      </c>
      <c r="K17" s="43">
        <f>IF(J17*0.55&gt;1.2,J17*0.55,1.2)</f>
        <v>1.2</v>
      </c>
      <c r="L17" s="51">
        <f>VLOOKUP(E17,'NPT 011 - Anexo A - Tabela 1'!$C$3:$H$56,5,FALSE)</f>
        <v>60</v>
      </c>
      <c r="M17" s="43">
        <f>ROUNDUP((G17/L17),0)</f>
        <v>1</v>
      </c>
      <c r="N17" s="43">
        <f t="shared" ref="N17:N21" si="0">IF(M17*0.55&gt;1.2,M17*0.55,1.2)</f>
        <v>1.2</v>
      </c>
      <c r="O17" s="51">
        <f>VLOOKUP(E17,'NPT 011 - Anexo A - Tabela 1'!$C$3:$H$56,6,FALSE)</f>
        <v>100</v>
      </c>
      <c r="P17" s="43">
        <f>ROUNDUP((G17/O17),0)</f>
        <v>1</v>
      </c>
      <c r="Q17" s="43">
        <f>IF(P17*0.55&gt;0.8,P17*0.55,0.8)</f>
        <v>0.8</v>
      </c>
      <c r="S17" s="8"/>
      <c r="T17" s="8"/>
      <c r="U17" s="9"/>
      <c r="V17" s="9"/>
      <c r="W17" s="8"/>
      <c r="X17" s="8"/>
      <c r="Y17" s="8"/>
      <c r="Z17" s="8"/>
      <c r="AA17" s="8"/>
      <c r="AB17" s="8"/>
      <c r="AC17" s="8"/>
      <c r="AD17" s="9"/>
      <c r="AE17" s="9"/>
      <c r="AG17" s="8"/>
      <c r="AH17" s="8"/>
      <c r="AI17" s="9"/>
      <c r="AK17" s="8"/>
      <c r="AT17" s="8"/>
    </row>
    <row r="18" spans="2:46" ht="28.8" x14ac:dyDescent="0.3">
      <c r="B18" s="124"/>
      <c r="C18" s="61" t="s">
        <v>41</v>
      </c>
      <c r="D18" s="12">
        <f>'CÁLCULO PROBABILÍSTICO'!F7</f>
        <v>56.67</v>
      </c>
      <c r="E18" s="11" t="s">
        <v>50</v>
      </c>
      <c r="F18" s="51" t="str">
        <f>VLOOKUP(E18,'NPT 011 - Anexo A - Tabela 1'!$C$3:$H$56,2,FALSE)</f>
        <v>Uma pessoa por 30,0 m² de área (I)</v>
      </c>
      <c r="G18" s="57">
        <f>ROUNDUP(IF(VLOOKUP(E18,'NPT 011 - Anexo A - Tabela 1'!$C$3:$E$56,3,FALSE)=0,"Ver índice de cálculo",D18/VLOOKUP(E18,'NPT 011 - Anexo A - Tabela 1'!$C$3:$E$56,3,FALSE)),0)</f>
        <v>2</v>
      </c>
      <c r="H18" s="11">
        <v>35</v>
      </c>
      <c r="I18" s="50">
        <f>VLOOKUP(E18,'NPT 011 - Anexo A - Tabela 1'!$C$3:$H$56,4,FALSE)</f>
        <v>100</v>
      </c>
      <c r="J18" s="43">
        <f t="shared" ref="J18:J21" si="1">ROUNDUP((G18/I18),0)</f>
        <v>1</v>
      </c>
      <c r="K18" s="43">
        <f>IF(J18*0.55&gt;1.2,J18*0.55,1.2)</f>
        <v>1.2</v>
      </c>
      <c r="L18" s="51">
        <f>VLOOKUP(E18,'NPT 011 - Anexo A - Tabela 1'!$C$3:$H$56,5,FALSE)</f>
        <v>60</v>
      </c>
      <c r="M18" s="43">
        <f t="shared" ref="M18:M21" si="2">ROUNDUP((G18/L18),0)</f>
        <v>1</v>
      </c>
      <c r="N18" s="43">
        <f t="shared" si="0"/>
        <v>1.2</v>
      </c>
      <c r="O18" s="51">
        <f>VLOOKUP(E18,'NPT 011 - Anexo A - Tabela 1'!$C$3:$H$56,6,FALSE)</f>
        <v>100</v>
      </c>
      <c r="P18" s="43">
        <f t="shared" ref="P18:P21" si="3">ROUNDUP((G18/O18),0)</f>
        <v>1</v>
      </c>
      <c r="Q18" s="43">
        <f t="shared" ref="Q18:Q21" si="4">IF(P18*0.55&gt;0.8,P18*0.55,0.8)</f>
        <v>0.8</v>
      </c>
      <c r="S18" s="8"/>
      <c r="T18" s="8"/>
      <c r="U18" s="9"/>
      <c r="V18" s="9"/>
      <c r="W18" s="8"/>
      <c r="X18" s="9"/>
      <c r="Y18" s="9"/>
      <c r="Z18" s="8"/>
      <c r="AA18" s="9"/>
      <c r="AB18" s="9"/>
      <c r="AC18" s="8"/>
      <c r="AD18" s="9"/>
      <c r="AE18" s="9"/>
      <c r="AG18" s="8"/>
      <c r="AH18" s="8"/>
      <c r="AI18" s="9"/>
      <c r="AK18" s="8"/>
      <c r="AT18" s="8"/>
    </row>
    <row r="19" spans="2:46" ht="13.95" customHeight="1" x14ac:dyDescent="0.3">
      <c r="B19" s="124"/>
      <c r="C19" s="61" t="s">
        <v>42</v>
      </c>
      <c r="D19" s="12">
        <f>'CÁLCULO PROBABILÍSTICO'!F8</f>
        <v>182</v>
      </c>
      <c r="E19" s="11" t="s">
        <v>44</v>
      </c>
      <c r="F19" s="51" t="str">
        <f>VLOOKUP(E19,'NPT 011 - Anexo A - Tabela 1'!$C$3:$H$56,2,FALSE)</f>
        <v>Uma pessoa por 10,0 m² de área</v>
      </c>
      <c r="G19" s="57">
        <f>ROUNDUP(IF(VLOOKUP(E19,'NPT 011 - Anexo A - Tabela 1'!$C$3:$E$56,3,FALSE)=0,"Ver índice de cálculo",D19/VLOOKUP(E19,'NPT 011 - Anexo A - Tabela 1'!$C$3:$E$56,3,FALSE)),0)</f>
        <v>19</v>
      </c>
      <c r="H19" s="11">
        <v>35</v>
      </c>
      <c r="I19" s="50">
        <f>VLOOKUP(E19,'NPT 011 - Anexo A - Tabela 1'!$C$3:$H$56,4,FALSE)</f>
        <v>100</v>
      </c>
      <c r="J19" s="43">
        <f t="shared" si="1"/>
        <v>1</v>
      </c>
      <c r="K19" s="43">
        <f t="shared" ref="K19:K21" si="5">IF(J19*0.55&gt;1.2,J19*0.55,1.2)</f>
        <v>1.2</v>
      </c>
      <c r="L19" s="51">
        <f>VLOOKUP(E19,'NPT 011 - Anexo A - Tabela 1'!$C$3:$H$56,5,FALSE)</f>
        <v>60</v>
      </c>
      <c r="M19" s="43">
        <f t="shared" si="2"/>
        <v>1</v>
      </c>
      <c r="N19" s="43">
        <f t="shared" si="0"/>
        <v>1.2</v>
      </c>
      <c r="O19" s="51">
        <f>VLOOKUP(E19,'NPT 011 - Anexo A - Tabela 1'!$C$3:$H$56,6,FALSE)</f>
        <v>100</v>
      </c>
      <c r="P19" s="43">
        <f t="shared" si="3"/>
        <v>1</v>
      </c>
      <c r="Q19" s="43">
        <f t="shared" si="4"/>
        <v>0.8</v>
      </c>
      <c r="S19" s="8"/>
      <c r="T19" s="8"/>
      <c r="U19" s="9"/>
      <c r="V19" s="9"/>
      <c r="W19" s="8"/>
      <c r="X19" s="8"/>
      <c r="Y19" s="8"/>
      <c r="Z19" s="8"/>
      <c r="AA19" s="8"/>
      <c r="AB19" s="8"/>
      <c r="AC19" s="8"/>
      <c r="AD19" s="9"/>
      <c r="AE19" s="9"/>
      <c r="AG19" s="8"/>
      <c r="AH19" s="8"/>
      <c r="AI19" s="9"/>
      <c r="AK19" s="8"/>
      <c r="AT19" s="8"/>
    </row>
    <row r="20" spans="2:46" ht="13.95" customHeight="1" x14ac:dyDescent="0.3">
      <c r="B20" s="124"/>
      <c r="C20" s="61" t="s">
        <v>51</v>
      </c>
      <c r="D20" s="12">
        <f>'CÁLCULO PROBABILÍSTICO'!F9</f>
        <v>37.15</v>
      </c>
      <c r="E20" s="11" t="s">
        <v>54</v>
      </c>
      <c r="F20" s="51" t="str">
        <f>VLOOKUP(E20,'NPT 011 - Anexo A - Tabela 1'!$C$3:$H$56,2,FALSE)</f>
        <v>Uma pessoa por 20,0 m² de área</v>
      </c>
      <c r="G20" s="57">
        <f>ROUNDUP(IF(VLOOKUP(E20,'NPT 011 - Anexo A - Tabela 1'!$C$3:$E$56,3,FALSE)=0,"Ver índice de cálculo",D20/VLOOKUP(E20,'NPT 011 - Anexo A - Tabela 1'!$C$3:$E$56,3,FALSE)),0)</f>
        <v>2</v>
      </c>
      <c r="H20" s="11">
        <v>28</v>
      </c>
      <c r="I20" s="50" t="str">
        <f>VLOOKUP(E20,'NPT 011 - Anexo A - Tabela 1'!$C$3:$H$56,4,FALSE)</f>
        <v>100</v>
      </c>
      <c r="J20" s="43">
        <f t="shared" si="1"/>
        <v>1</v>
      </c>
      <c r="K20" s="43">
        <f t="shared" si="5"/>
        <v>1.2</v>
      </c>
      <c r="L20" s="51">
        <f>VLOOKUP(E20,'NPT 011 - Anexo A - Tabela 1'!$C$3:$H$56,5,FALSE)</f>
        <v>60</v>
      </c>
      <c r="M20" s="43">
        <f t="shared" si="2"/>
        <v>1</v>
      </c>
      <c r="N20" s="43">
        <f t="shared" si="0"/>
        <v>1.2</v>
      </c>
      <c r="O20" s="51" t="str">
        <f>VLOOKUP(E20,'NPT 011 - Anexo A - Tabela 1'!$C$3:$H$56,6,FALSE)</f>
        <v>100</v>
      </c>
      <c r="P20" s="43">
        <f t="shared" si="3"/>
        <v>1</v>
      </c>
      <c r="Q20" s="43">
        <f t="shared" si="4"/>
        <v>0.8</v>
      </c>
      <c r="S20" s="8"/>
      <c r="T20" s="8"/>
      <c r="U20" s="9"/>
      <c r="V20" s="9"/>
      <c r="W20" s="8"/>
      <c r="X20" s="8"/>
      <c r="Y20" s="8"/>
      <c r="Z20" s="8"/>
      <c r="AA20" s="8"/>
      <c r="AB20" s="8"/>
      <c r="AC20" s="8"/>
      <c r="AD20" s="9"/>
      <c r="AE20" s="9"/>
      <c r="AG20" s="8"/>
      <c r="AH20" s="8"/>
      <c r="AI20" s="9"/>
      <c r="AK20" s="8"/>
      <c r="AT20" s="8"/>
    </row>
    <row r="21" spans="2:46" ht="13.95" customHeight="1" x14ac:dyDescent="0.3">
      <c r="B21" s="124"/>
      <c r="C21" s="61" t="s">
        <v>52</v>
      </c>
      <c r="D21" s="12">
        <f>'CÁLCULO PROBABILÍSTICO'!F10</f>
        <v>29.25</v>
      </c>
      <c r="E21" s="11" t="s">
        <v>53</v>
      </c>
      <c r="F21" s="51" t="str">
        <f>VLOOKUP(E21,'NPT 011 - Anexo A - Tabela 1'!$C$3:$H$56,2,FALSE)</f>
        <v>Uma pessoa por 1,0 m² de área (O)</v>
      </c>
      <c r="G21" s="57">
        <f>ROUNDUP(IF(VLOOKUP(E21,'NPT 011 - Anexo A - Tabela 1'!$C$3:$E$56,3,FALSE)=0,"Ver índice de cálculo",D21/VLOOKUP(E21,'NPT 011 - Anexo A - Tabela 1'!$C$3:$E$56,3,FALSE)),0)</f>
        <v>30</v>
      </c>
      <c r="H21" s="11">
        <v>28</v>
      </c>
      <c r="I21" s="50">
        <f>VLOOKUP(E21,'NPT 011 - Anexo A - Tabela 1'!$C$3:$H$56,4,FALSE)</f>
        <v>100</v>
      </c>
      <c r="J21" s="43">
        <f t="shared" si="1"/>
        <v>1</v>
      </c>
      <c r="K21" s="43">
        <f t="shared" si="5"/>
        <v>1.2</v>
      </c>
      <c r="L21" s="51" t="str">
        <f>VLOOKUP(E21,'NPT 011 - Anexo A - Tabela 1'!$C$3:$H$56,5,FALSE)</f>
        <v>75</v>
      </c>
      <c r="M21" s="43">
        <f t="shared" si="2"/>
        <v>1</v>
      </c>
      <c r="N21" s="43">
        <f t="shared" si="0"/>
        <v>1.2</v>
      </c>
      <c r="O21" s="51" t="str">
        <f>VLOOKUP(E21,'NPT 011 - Anexo A - Tabela 1'!$C$3:$H$56,6,FALSE)</f>
        <v>100</v>
      </c>
      <c r="P21" s="43">
        <f t="shared" si="3"/>
        <v>1</v>
      </c>
      <c r="Q21" s="43">
        <f t="shared" si="4"/>
        <v>0.8</v>
      </c>
      <c r="S21" s="8"/>
      <c r="T21" s="8"/>
      <c r="U21" s="9"/>
      <c r="V21" s="9"/>
      <c r="W21" s="8"/>
      <c r="X21" s="8"/>
      <c r="Y21" s="8"/>
      <c r="Z21" s="8"/>
      <c r="AA21" s="8"/>
      <c r="AB21" s="8"/>
      <c r="AC21" s="8"/>
      <c r="AD21" s="9"/>
      <c r="AE21" s="9"/>
      <c r="AG21" s="8"/>
      <c r="AH21" s="8"/>
      <c r="AI21" s="9"/>
      <c r="AK21" s="8"/>
      <c r="AT21" s="8"/>
    </row>
    <row r="22" spans="2:46" ht="13.95" customHeight="1" x14ac:dyDescent="0.3">
      <c r="B22" s="124"/>
      <c r="C22" s="109" t="s">
        <v>20</v>
      </c>
      <c r="D22" s="109"/>
      <c r="E22" s="77" t="s">
        <v>44</v>
      </c>
      <c r="F22" s="80" t="s">
        <v>76</v>
      </c>
      <c r="G22" s="81">
        <f>SUM(G17:G21)</f>
        <v>59</v>
      </c>
      <c r="H22" s="82" t="s">
        <v>76</v>
      </c>
      <c r="I22" s="83">
        <f>VLOOKUP(E22,'NPT 011 - Anexo A - Tabela 1'!$C$3:$H$56,4,FALSE)</f>
        <v>100</v>
      </c>
      <c r="J22" s="84">
        <f t="shared" ref="J22" si="6">ROUNDUP((G22/I22),0)</f>
        <v>1</v>
      </c>
      <c r="K22" s="84">
        <f t="shared" ref="K22" si="7">IF(J22*0.55&gt;1.2,J22*0.55,1.2)</f>
        <v>1.2</v>
      </c>
      <c r="L22" s="82">
        <f>VLOOKUP(E22,'NPT 011 - Anexo A - Tabela 1'!$C$3:$H$56,5,FALSE)</f>
        <v>60</v>
      </c>
      <c r="M22" s="84">
        <f t="shared" ref="M22" si="8">ROUNDUP((G22/L22),0)</f>
        <v>1</v>
      </c>
      <c r="N22" s="84">
        <f t="shared" ref="N22:N23" si="9">IF(M22*0.55&gt;1.2,M22*0.55,1.2)</f>
        <v>1.2</v>
      </c>
      <c r="O22" s="82">
        <f>VLOOKUP(E22,'NPT 011 - Anexo A - Tabela 1'!$C$3:$H$56,6,FALSE)</f>
        <v>100</v>
      </c>
      <c r="P22" s="84">
        <f t="shared" ref="P22" si="10">ROUNDUP((G22/O22),0)</f>
        <v>1</v>
      </c>
      <c r="Q22" s="84">
        <f t="shared" ref="Q22" si="11">IF(P22*0.55&gt;0.8,P22*0.55,0.8)</f>
        <v>0.8</v>
      </c>
      <c r="AI22" s="9"/>
      <c r="AK22" s="8"/>
      <c r="AT22" s="8"/>
    </row>
    <row r="23" spans="2:46" ht="27.6" x14ac:dyDescent="0.3">
      <c r="B23" s="125" t="s">
        <v>208</v>
      </c>
      <c r="C23" s="75" t="s">
        <v>40</v>
      </c>
      <c r="D23" s="73">
        <v>158</v>
      </c>
      <c r="E23" s="74" t="s">
        <v>50</v>
      </c>
      <c r="F23" s="51" t="str">
        <f>VLOOKUP(E23,'NPT 011 - Anexo A - Tabela 1'!$C$9:$H$62,2,FALSE)</f>
        <v>Uma pessoa por 30,0 m² de área (I)</v>
      </c>
      <c r="G23" s="57">
        <f>ROUNDUP(IF(VLOOKUP(E23,'NPT 011 - Anexo A - Tabela 1'!$C$3:$E$56,3,FALSE)=0,"Ver índice de cálculo",D23/VLOOKUP(E23,'NPT 011 - Anexo A - Tabela 1'!$C$3:$E$56,3,FALSE)),0)</f>
        <v>6</v>
      </c>
      <c r="H23" s="74">
        <v>35</v>
      </c>
      <c r="I23" s="50">
        <f>VLOOKUP(E23,'NPT 011 - Anexo A - Tabela 1'!$C$3:$H$56,4,FALSE)</f>
        <v>100</v>
      </c>
      <c r="J23" s="43">
        <f>ROUNDUP((G23/I23),0)</f>
        <v>1</v>
      </c>
      <c r="K23" s="43">
        <f>IF(J23*0.55&gt;1.2,J23*0.55,1.2)</f>
        <v>1.2</v>
      </c>
      <c r="L23" s="51">
        <f>VLOOKUP(E23,'NPT 011 - Anexo A - Tabela 1'!$C$3:$H$56,5,FALSE)</f>
        <v>60</v>
      </c>
      <c r="M23" s="43">
        <f>ROUNDUP((G23/L23),0)</f>
        <v>1</v>
      </c>
      <c r="N23" s="43">
        <f t="shared" si="9"/>
        <v>1.2</v>
      </c>
      <c r="O23" s="51">
        <f>VLOOKUP(E23,'NPT 011 - Anexo A - Tabela 1'!$C$3:$H$56,6,FALSE)</f>
        <v>100</v>
      </c>
      <c r="P23" s="43">
        <f>ROUNDUP((G23/O23),0)</f>
        <v>1</v>
      </c>
      <c r="Q23" s="43">
        <f>IF(P23*0.55&gt;0.8,P23*0.55,0.8)</f>
        <v>0.8</v>
      </c>
      <c r="AI23" s="9"/>
      <c r="AK23" s="8"/>
      <c r="AT23" s="8"/>
    </row>
    <row r="24" spans="2:46" ht="27.6" x14ac:dyDescent="0.3">
      <c r="B24" s="125"/>
      <c r="C24" s="75" t="s">
        <v>41</v>
      </c>
      <c r="D24" s="73">
        <v>56.67</v>
      </c>
      <c r="E24" s="74" t="s">
        <v>50</v>
      </c>
      <c r="F24" s="51" t="str">
        <f>VLOOKUP(E24,'NPT 011 - Anexo A - Tabela 1'!$C$9:$H$62,2,FALSE)</f>
        <v>Uma pessoa por 30,0 m² de área (I)</v>
      </c>
      <c r="G24" s="57">
        <f>ROUNDUP(IF(VLOOKUP(E24,'NPT 011 - Anexo A - Tabela 1'!$C$3:$E$56,3,FALSE)=0,"Ver índice de cálculo",D24/VLOOKUP(E24,'NPT 011 - Anexo A - Tabela 1'!$C$3:$E$56,3,FALSE)),0)</f>
        <v>2</v>
      </c>
      <c r="H24" s="74">
        <v>35</v>
      </c>
      <c r="I24" s="50">
        <f>VLOOKUP(E24,'NPT 011 - Anexo A - Tabela 1'!$C$3:$H$56,4,FALSE)</f>
        <v>100</v>
      </c>
      <c r="J24" s="43">
        <f t="shared" ref="J24:J30" si="12">ROUNDUP((G24/I24),0)</f>
        <v>1</v>
      </c>
      <c r="K24" s="43">
        <f t="shared" ref="K24:K30" si="13">IF(J24*0.55&gt;1.2,J24*0.55,1.2)</f>
        <v>1.2</v>
      </c>
      <c r="L24" s="51">
        <f>VLOOKUP(E24,'NPT 011 - Anexo A - Tabela 1'!$C$3:$H$56,5,FALSE)</f>
        <v>60</v>
      </c>
      <c r="M24" s="43">
        <f t="shared" ref="M24:M30" si="14">ROUNDUP((G24/L24),0)</f>
        <v>1</v>
      </c>
      <c r="N24" s="43">
        <f t="shared" ref="N24:N30" si="15">IF(M24*0.55&gt;1.2,M24*0.55,1.2)</f>
        <v>1.2</v>
      </c>
      <c r="O24" s="51">
        <f>VLOOKUP(E24,'NPT 011 - Anexo A - Tabela 1'!$C$3:$H$56,6,FALSE)</f>
        <v>100</v>
      </c>
      <c r="P24" s="43">
        <f t="shared" ref="P24:P30" si="16">ROUNDUP((G24/O24),0)</f>
        <v>1</v>
      </c>
      <c r="Q24" s="43">
        <f t="shared" ref="Q24:Q30" si="17">IF(P24*0.55&gt;0.8,P24*0.55,0.8)</f>
        <v>0.8</v>
      </c>
      <c r="AI24" s="9"/>
      <c r="AK24" s="8"/>
      <c r="AT24" s="8"/>
    </row>
    <row r="25" spans="2:46" x14ac:dyDescent="0.3">
      <c r="B25" s="125"/>
      <c r="C25" s="75" t="s">
        <v>42</v>
      </c>
      <c r="D25" s="73">
        <v>182</v>
      </c>
      <c r="E25" s="74" t="s">
        <v>44</v>
      </c>
      <c r="F25" s="51" t="str">
        <f>VLOOKUP(E25,'NPT 011 - Anexo A - Tabela 1'!$C$9:$H$62,2,FALSE)</f>
        <v>Uma pessoa por 10,0 m² de área</v>
      </c>
      <c r="G25" s="57">
        <f>ROUNDUP(IF(VLOOKUP(E25,'NPT 011 - Anexo A - Tabela 1'!$C$3:$E$56,3,FALSE)=0,"Ver índice de cálculo",D25/VLOOKUP(E25,'NPT 011 - Anexo A - Tabela 1'!$C$3:$E$56,3,FALSE)),0)</f>
        <v>19</v>
      </c>
      <c r="H25" s="74">
        <v>35</v>
      </c>
      <c r="I25" s="50">
        <f>VLOOKUP(E25,'NPT 011 - Anexo A - Tabela 1'!$C$3:$H$56,4,FALSE)</f>
        <v>100</v>
      </c>
      <c r="J25" s="43">
        <f t="shared" si="12"/>
        <v>1</v>
      </c>
      <c r="K25" s="43">
        <f t="shared" si="13"/>
        <v>1.2</v>
      </c>
      <c r="L25" s="51">
        <f>VLOOKUP(E25,'NPT 011 - Anexo A - Tabela 1'!$C$3:$H$56,5,FALSE)</f>
        <v>60</v>
      </c>
      <c r="M25" s="43">
        <f t="shared" si="14"/>
        <v>1</v>
      </c>
      <c r="N25" s="43">
        <f t="shared" si="15"/>
        <v>1.2</v>
      </c>
      <c r="O25" s="51">
        <f>VLOOKUP(E25,'NPT 011 - Anexo A - Tabela 1'!$C$3:$H$56,6,FALSE)</f>
        <v>100</v>
      </c>
      <c r="P25" s="43">
        <f t="shared" si="16"/>
        <v>1</v>
      </c>
      <c r="Q25" s="43">
        <f t="shared" si="17"/>
        <v>0.8</v>
      </c>
      <c r="AI25" s="9"/>
      <c r="AK25" s="8"/>
      <c r="AT25" s="8"/>
    </row>
    <row r="26" spans="2:46" ht="27.6" customHeight="1" x14ac:dyDescent="0.3">
      <c r="B26" s="125"/>
      <c r="C26" s="75" t="s">
        <v>42</v>
      </c>
      <c r="D26" s="73">
        <v>183</v>
      </c>
      <c r="E26" s="74" t="s">
        <v>188</v>
      </c>
      <c r="F26" s="51" t="str">
        <f>VLOOKUP(E26,'NPT 011 - Anexo A - Tabela 1'!$C$9:$H$62,2,FALSE)</f>
        <v>Uma pessoa por 10,0 m² de área</v>
      </c>
      <c r="G26" s="57">
        <f>ROUNDUP(IF(VLOOKUP(E26,'NPT 011 - Anexo A - Tabela 1'!$C$3:$E$56,3,FALSE)=0,"Ver índice de cálculo",D26/VLOOKUP(E26,'NPT 011 - Anexo A - Tabela 1'!$C$3:$E$56,3,FALSE)),0)</f>
        <v>19</v>
      </c>
      <c r="H26" s="74">
        <v>35</v>
      </c>
      <c r="I26" s="50">
        <f>VLOOKUP(E26,'NPT 011 - Anexo A - Tabela 1'!$C$3:$H$56,4,FALSE)</f>
        <v>100</v>
      </c>
      <c r="J26" s="43">
        <f t="shared" si="12"/>
        <v>1</v>
      </c>
      <c r="K26" s="43">
        <f t="shared" si="13"/>
        <v>1.2</v>
      </c>
      <c r="L26" s="51">
        <f>VLOOKUP(E26,'NPT 011 - Anexo A - Tabela 1'!$C$3:$H$56,5,FALSE)</f>
        <v>60</v>
      </c>
      <c r="M26" s="43">
        <f t="shared" si="14"/>
        <v>1</v>
      </c>
      <c r="N26" s="43">
        <f t="shared" si="15"/>
        <v>1.2</v>
      </c>
      <c r="O26" s="51">
        <f>VLOOKUP(E26,'NPT 011 - Anexo A - Tabela 1'!$C$3:$H$56,6,FALSE)</f>
        <v>100</v>
      </c>
      <c r="P26" s="43">
        <f t="shared" si="16"/>
        <v>1</v>
      </c>
      <c r="Q26" s="43">
        <f t="shared" si="17"/>
        <v>0.8</v>
      </c>
      <c r="AI26" s="9"/>
      <c r="AK26" s="8"/>
      <c r="AT26" s="8"/>
    </row>
    <row r="27" spans="2:46" x14ac:dyDescent="0.3">
      <c r="B27" s="125"/>
      <c r="C27" s="75" t="s">
        <v>209</v>
      </c>
      <c r="D27" s="73">
        <v>212</v>
      </c>
      <c r="E27" s="74" t="s">
        <v>56</v>
      </c>
      <c r="F27" s="51" t="str">
        <f>VLOOKUP(E27,'NPT 011 - Anexo A - Tabela 1'!$C$9:$H$62,2,FALSE)</f>
        <v>Uma pessoa por 7,0 m² de área</v>
      </c>
      <c r="G27" s="57">
        <f>ROUNDUP(IF(VLOOKUP(E27,'NPT 011 - Anexo A - Tabela 1'!$C$3:$E$56,3,FALSE)=0,"Ver índice de cálculo",D27/VLOOKUP(E27,'NPT 011 - Anexo A - Tabela 1'!$C$3:$E$56,3,FALSE)),0)</f>
        <v>31</v>
      </c>
      <c r="H27" s="74">
        <v>35</v>
      </c>
      <c r="I27" s="50">
        <f>VLOOKUP(E27,'NPT 011 - Anexo A - Tabela 1'!$C$3:$H$56,4,FALSE)</f>
        <v>100</v>
      </c>
      <c r="J27" s="43">
        <f t="shared" si="12"/>
        <v>1</v>
      </c>
      <c r="K27" s="43">
        <f t="shared" si="13"/>
        <v>1.2</v>
      </c>
      <c r="L27" s="51">
        <f>VLOOKUP(E27,'NPT 011 - Anexo A - Tabela 1'!$C$3:$H$56,5,FALSE)</f>
        <v>75</v>
      </c>
      <c r="M27" s="43">
        <f t="shared" si="14"/>
        <v>1</v>
      </c>
      <c r="N27" s="43">
        <f t="shared" si="15"/>
        <v>1.2</v>
      </c>
      <c r="O27" s="51">
        <f>VLOOKUP(E27,'NPT 011 - Anexo A - Tabela 1'!$C$3:$H$56,6,FALSE)</f>
        <v>100</v>
      </c>
      <c r="P27" s="43">
        <f t="shared" si="16"/>
        <v>1</v>
      </c>
      <c r="Q27" s="43">
        <f t="shared" si="17"/>
        <v>0.8</v>
      </c>
      <c r="AI27" s="9"/>
      <c r="AK27" s="8"/>
      <c r="AT27" s="8"/>
    </row>
    <row r="28" spans="2:46" x14ac:dyDescent="0.3">
      <c r="B28" s="125"/>
      <c r="C28" s="75" t="s">
        <v>51</v>
      </c>
      <c r="D28" s="73">
        <v>37.15</v>
      </c>
      <c r="E28" s="74" t="s">
        <v>54</v>
      </c>
      <c r="F28" s="51" t="str">
        <f>VLOOKUP(E28,'NPT 011 - Anexo A - Tabela 1'!$C$9:$H$62,2,FALSE)</f>
        <v>Uma pessoa por 20,0 m² de área</v>
      </c>
      <c r="G28" s="57">
        <f>ROUNDUP(IF(VLOOKUP(E28,'NPT 011 - Anexo A - Tabela 1'!$C$3:$E$56,3,FALSE)=0,"Ver índice de cálculo",D28/VLOOKUP(E28,'NPT 011 - Anexo A - Tabela 1'!$C$3:$E$56,3,FALSE)),0)</f>
        <v>2</v>
      </c>
      <c r="H28" s="74">
        <v>28</v>
      </c>
      <c r="I28" s="50" t="str">
        <f>VLOOKUP(E28,'NPT 011 - Anexo A - Tabela 1'!$C$3:$H$56,4,FALSE)</f>
        <v>100</v>
      </c>
      <c r="J28" s="43">
        <f t="shared" si="12"/>
        <v>1</v>
      </c>
      <c r="K28" s="43">
        <f t="shared" si="13"/>
        <v>1.2</v>
      </c>
      <c r="L28" s="51">
        <f>VLOOKUP(E28,'NPT 011 - Anexo A - Tabela 1'!$C$3:$H$56,5,FALSE)</f>
        <v>60</v>
      </c>
      <c r="M28" s="43">
        <f t="shared" si="14"/>
        <v>1</v>
      </c>
      <c r="N28" s="43">
        <f t="shared" si="15"/>
        <v>1.2</v>
      </c>
      <c r="O28" s="51" t="str">
        <f>VLOOKUP(E28,'NPT 011 - Anexo A - Tabela 1'!$C$3:$H$56,6,FALSE)</f>
        <v>100</v>
      </c>
      <c r="P28" s="43">
        <f t="shared" si="16"/>
        <v>1</v>
      </c>
      <c r="Q28" s="43">
        <f t="shared" si="17"/>
        <v>0.8</v>
      </c>
      <c r="AI28" s="9"/>
      <c r="AK28" s="8"/>
      <c r="AT28" s="8"/>
    </row>
    <row r="29" spans="2:46" x14ac:dyDescent="0.3">
      <c r="B29" s="125"/>
      <c r="C29" s="75" t="s">
        <v>52</v>
      </c>
      <c r="D29" s="73">
        <v>29.25</v>
      </c>
      <c r="E29" s="74" t="s">
        <v>53</v>
      </c>
      <c r="F29" s="51" t="str">
        <f>VLOOKUP(E29,'NPT 011 - Anexo A - Tabela 1'!$C$9:$H$62,2,FALSE)</f>
        <v>Uma pessoa por 1,0 m² de área (O)</v>
      </c>
      <c r="G29" s="57">
        <f>ROUNDUP(IF(VLOOKUP(E29,'NPT 011 - Anexo A - Tabela 1'!$C$3:$E$56,3,FALSE)=0,"Ver índice de cálculo",D29/VLOOKUP(E29,'NPT 011 - Anexo A - Tabela 1'!$C$3:$E$56,3,FALSE)),0)</f>
        <v>30</v>
      </c>
      <c r="H29" s="74">
        <v>28</v>
      </c>
      <c r="I29" s="50">
        <f>VLOOKUP(E29,'NPT 011 - Anexo A - Tabela 1'!$C$3:$H$56,4,FALSE)</f>
        <v>100</v>
      </c>
      <c r="J29" s="43">
        <f t="shared" si="12"/>
        <v>1</v>
      </c>
      <c r="K29" s="43">
        <f t="shared" si="13"/>
        <v>1.2</v>
      </c>
      <c r="L29" s="51" t="str">
        <f>VLOOKUP(E29,'NPT 011 - Anexo A - Tabela 1'!$C$3:$H$56,5,FALSE)</f>
        <v>75</v>
      </c>
      <c r="M29" s="43">
        <f t="shared" si="14"/>
        <v>1</v>
      </c>
      <c r="N29" s="43">
        <f t="shared" si="15"/>
        <v>1.2</v>
      </c>
      <c r="O29" s="51" t="str">
        <f>VLOOKUP(E29,'NPT 011 - Anexo A - Tabela 1'!$C$3:$H$56,6,FALSE)</f>
        <v>100</v>
      </c>
      <c r="P29" s="43">
        <f t="shared" si="16"/>
        <v>1</v>
      </c>
      <c r="Q29" s="43">
        <f t="shared" si="17"/>
        <v>0.8</v>
      </c>
      <c r="AI29" s="9"/>
      <c r="AK29" s="8"/>
      <c r="AT29" s="8"/>
    </row>
    <row r="30" spans="2:46" s="76" customFormat="1" ht="14.4" customHeight="1" x14ac:dyDescent="0.3">
      <c r="B30" s="125"/>
      <c r="C30" s="109" t="s">
        <v>20</v>
      </c>
      <c r="D30" s="109"/>
      <c r="E30" s="77" t="s">
        <v>44</v>
      </c>
      <c r="F30" s="80" t="s">
        <v>76</v>
      </c>
      <c r="G30" s="81">
        <f>SUM(G25:G29)</f>
        <v>101</v>
      </c>
      <c r="H30" s="82" t="s">
        <v>76</v>
      </c>
      <c r="I30" s="83">
        <f>VLOOKUP(E30,'NPT 011 - Anexo A - Tabela 1'!$C$3:$H$56,4,FALSE)</f>
        <v>100</v>
      </c>
      <c r="J30" s="84">
        <f t="shared" si="12"/>
        <v>2</v>
      </c>
      <c r="K30" s="84">
        <f t="shared" si="13"/>
        <v>1.2</v>
      </c>
      <c r="L30" s="82">
        <f>VLOOKUP(E30,'NPT 011 - Anexo A - Tabela 1'!$C$3:$H$56,5,FALSE)</f>
        <v>60</v>
      </c>
      <c r="M30" s="84">
        <f t="shared" si="14"/>
        <v>2</v>
      </c>
      <c r="N30" s="84">
        <f t="shared" si="15"/>
        <v>1.2</v>
      </c>
      <c r="O30" s="82">
        <f>VLOOKUP(E30,'NPT 011 - Anexo A - Tabela 1'!$C$3:$H$56,6,FALSE)</f>
        <v>100</v>
      </c>
      <c r="P30" s="84">
        <f t="shared" si="16"/>
        <v>2</v>
      </c>
      <c r="Q30" s="84">
        <f t="shared" si="17"/>
        <v>1.1000000000000001</v>
      </c>
      <c r="AI30" s="34"/>
      <c r="AK30" s="72"/>
      <c r="AT30" s="72"/>
    </row>
    <row r="31" spans="2:46" ht="15" thickBot="1" x14ac:dyDescent="0.35">
      <c r="B31" s="126" t="s">
        <v>20</v>
      </c>
      <c r="C31" s="127"/>
      <c r="D31" s="127"/>
      <c r="E31" s="127"/>
      <c r="F31" s="127"/>
      <c r="G31" s="78">
        <f>G22+G30</f>
        <v>160</v>
      </c>
      <c r="H31" s="79" t="s">
        <v>207</v>
      </c>
      <c r="I31" s="8"/>
      <c r="J31" s="8"/>
      <c r="K31" s="8"/>
      <c r="L31" s="8"/>
      <c r="M31" s="8"/>
      <c r="N31" s="8"/>
      <c r="O31" s="8"/>
      <c r="P31" s="8"/>
      <c r="Q31" s="9"/>
      <c r="R31" s="9"/>
      <c r="AI31" s="9"/>
      <c r="AK31" s="8"/>
      <c r="AT31" s="8"/>
    </row>
    <row r="32" spans="2:46" x14ac:dyDescent="0.3">
      <c r="B32" s="8"/>
      <c r="C32" s="8"/>
      <c r="D32" s="9"/>
      <c r="E32" s="9"/>
      <c r="F32" s="8"/>
      <c r="G32" s="8"/>
      <c r="H32" s="8"/>
      <c r="I32" s="8"/>
      <c r="J32" s="8"/>
      <c r="K32" s="8"/>
      <c r="L32" s="8"/>
      <c r="M32" s="8"/>
      <c r="N32" s="8"/>
      <c r="O32" s="8"/>
      <c r="P32" s="9"/>
      <c r="Q32" s="9"/>
      <c r="S32" s="8"/>
      <c r="T32" s="8"/>
      <c r="U32" s="9"/>
      <c r="V32" s="9"/>
      <c r="W32" s="8"/>
      <c r="X32" s="8"/>
      <c r="Y32" s="8"/>
      <c r="Z32" s="8"/>
      <c r="AA32" s="8"/>
      <c r="AB32" s="8"/>
      <c r="AC32" s="8"/>
      <c r="AD32" s="9"/>
      <c r="AE32" s="9"/>
      <c r="AG32" s="8"/>
      <c r="AH32" s="8"/>
      <c r="AI32" s="9"/>
      <c r="AK32" s="8"/>
      <c r="AT32" s="8"/>
    </row>
    <row r="33" spans="2:46" x14ac:dyDescent="0.3">
      <c r="B33" s="8"/>
      <c r="C33" s="8"/>
      <c r="D33" s="9"/>
      <c r="E33" s="9"/>
      <c r="F33" s="8"/>
      <c r="G33" s="8"/>
      <c r="H33" s="8"/>
      <c r="I33" s="8"/>
      <c r="J33" s="8"/>
      <c r="K33" s="8"/>
      <c r="L33" s="8"/>
      <c r="M33" s="8"/>
      <c r="N33" s="8"/>
      <c r="O33" s="8"/>
      <c r="P33" s="9"/>
      <c r="Q33" s="9"/>
      <c r="S33" s="8"/>
      <c r="T33" s="8"/>
      <c r="U33" s="9"/>
      <c r="V33" s="9"/>
      <c r="W33" s="8"/>
      <c r="X33" s="8"/>
      <c r="Y33" s="8"/>
      <c r="Z33" s="8"/>
      <c r="AA33" s="8"/>
      <c r="AB33" s="8"/>
      <c r="AC33" s="8"/>
      <c r="AD33" s="9"/>
      <c r="AE33" s="9"/>
      <c r="AG33" s="8"/>
      <c r="AH33" s="8"/>
      <c r="AI33" s="9"/>
      <c r="AK33" s="8"/>
      <c r="AT33" s="8"/>
    </row>
    <row r="34" spans="2:46" x14ac:dyDescent="0.3">
      <c r="B34" s="8"/>
      <c r="C34" s="8"/>
      <c r="D34" s="9"/>
      <c r="E34" s="9"/>
      <c r="F34" s="8"/>
      <c r="G34" s="8"/>
      <c r="H34" s="8"/>
      <c r="I34" s="8"/>
      <c r="J34" s="8"/>
      <c r="K34" s="8"/>
      <c r="L34" s="8"/>
      <c r="M34" s="8"/>
      <c r="N34" s="8"/>
      <c r="O34" s="8"/>
      <c r="P34" s="9"/>
      <c r="Q34" s="9"/>
      <c r="S34" s="8"/>
      <c r="T34" s="8"/>
      <c r="U34" s="9"/>
      <c r="V34" s="9"/>
      <c r="W34" s="8"/>
      <c r="X34" s="8"/>
      <c r="Y34" s="8"/>
      <c r="Z34" s="8"/>
      <c r="AA34" s="8"/>
      <c r="AB34" s="8"/>
      <c r="AC34" s="8"/>
      <c r="AD34" s="8"/>
      <c r="AE34" s="8"/>
      <c r="AG34" s="8"/>
      <c r="AH34" s="8"/>
      <c r="AI34" s="9"/>
      <c r="AK34" s="8"/>
      <c r="AT34" s="8"/>
    </row>
    <row r="35" spans="2:46" x14ac:dyDescent="0.3">
      <c r="B35" s="8"/>
      <c r="C35" s="8"/>
      <c r="D35" s="9"/>
      <c r="E35" s="9"/>
      <c r="F35" s="8"/>
      <c r="G35" s="9"/>
      <c r="H35" s="9"/>
      <c r="I35" s="9"/>
      <c r="J35" s="9"/>
      <c r="K35" s="9"/>
      <c r="L35" s="9"/>
      <c r="M35" s="9"/>
      <c r="N35" s="9"/>
      <c r="O35" s="9"/>
      <c r="P35" s="9"/>
      <c r="Q35" s="9"/>
      <c r="S35" s="8"/>
      <c r="T35" s="8"/>
      <c r="U35" s="9"/>
      <c r="V35" s="9"/>
      <c r="W35" s="8"/>
      <c r="X35" s="8"/>
      <c r="Y35" s="8"/>
      <c r="Z35" s="8"/>
      <c r="AA35" s="8"/>
      <c r="AB35" s="8"/>
      <c r="AC35" s="9"/>
      <c r="AD35" s="9"/>
      <c r="AE35" s="9"/>
      <c r="AG35" s="8"/>
      <c r="AH35" s="8"/>
      <c r="AI35" s="9"/>
      <c r="AK35" s="9"/>
      <c r="AT35" s="9"/>
    </row>
    <row r="36" spans="2:46" x14ac:dyDescent="0.3">
      <c r="B36" s="8"/>
      <c r="C36" s="8"/>
      <c r="D36" s="9"/>
      <c r="E36" s="9"/>
      <c r="F36" s="8"/>
      <c r="G36" s="8"/>
      <c r="H36" s="8"/>
      <c r="I36" s="8"/>
      <c r="J36" s="9"/>
      <c r="K36" s="8"/>
      <c r="L36" s="8"/>
      <c r="M36" s="9"/>
      <c r="N36" s="8"/>
      <c r="O36" s="8"/>
      <c r="P36" s="9"/>
      <c r="Q36" s="9"/>
      <c r="S36" s="8"/>
      <c r="T36" s="8"/>
      <c r="U36" s="9"/>
      <c r="V36" s="9"/>
      <c r="W36" s="8"/>
      <c r="X36" s="9"/>
      <c r="Y36" s="8"/>
      <c r="Z36" s="8"/>
      <c r="AA36" s="9"/>
      <c r="AB36" s="8"/>
      <c r="AC36" s="8"/>
      <c r="AD36" s="9"/>
      <c r="AE36" s="9"/>
      <c r="AG36" s="8"/>
      <c r="AH36" s="8"/>
      <c r="AI36" s="9"/>
      <c r="AK36" s="8"/>
      <c r="AT36" s="8"/>
    </row>
    <row r="38" spans="2:46" x14ac:dyDescent="0.3">
      <c r="D38" s="35"/>
    </row>
    <row r="45" spans="2:46" x14ac:dyDescent="0.3">
      <c r="D45" s="35"/>
    </row>
  </sheetData>
  <mergeCells count="22">
    <mergeCell ref="B31:F31"/>
    <mergeCell ref="B5:Q7"/>
    <mergeCell ref="B8:Q10"/>
    <mergeCell ref="C22:D22"/>
    <mergeCell ref="B2:Q4"/>
    <mergeCell ref="H15:H16"/>
    <mergeCell ref="B14:E15"/>
    <mergeCell ref="O15:Q15"/>
    <mergeCell ref="H14:Q14"/>
    <mergeCell ref="F14:G15"/>
    <mergeCell ref="I15:K15"/>
    <mergeCell ref="L15:N15"/>
    <mergeCell ref="B17:B22"/>
    <mergeCell ref="C30:D30"/>
    <mergeCell ref="B11:Q12"/>
    <mergeCell ref="AG14:AJ15"/>
    <mergeCell ref="S14:V15"/>
    <mergeCell ref="W15:Y15"/>
    <mergeCell ref="Z15:AB15"/>
    <mergeCell ref="AC15:AE15"/>
    <mergeCell ref="W14:AE14"/>
    <mergeCell ref="B23:B30"/>
  </mergeCells>
  <phoneticPr fontId="2"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19"/>
  <sheetViews>
    <sheetView zoomScale="85" zoomScaleNormal="85" workbookViewId="0">
      <selection activeCell="G14" sqref="G14"/>
    </sheetView>
  </sheetViews>
  <sheetFormatPr defaultColWidth="9.109375" defaultRowHeight="14.4" x14ac:dyDescent="0.3"/>
  <cols>
    <col min="1" max="2" width="9.109375" style="3"/>
    <col min="3" max="3" width="29.88671875" style="3" customWidth="1"/>
    <col min="4" max="4" width="41.109375" style="3" customWidth="1"/>
    <col min="5" max="16384" width="9.109375" style="3"/>
  </cols>
  <sheetData>
    <row r="2" spans="2:4" ht="15.6" x14ac:dyDescent="0.3">
      <c r="B2" s="10" t="s">
        <v>34</v>
      </c>
      <c r="C2" s="10" t="s">
        <v>35</v>
      </c>
      <c r="D2" s="10" t="s">
        <v>36</v>
      </c>
    </row>
    <row r="3" spans="2:4" ht="15.6" x14ac:dyDescent="0.3">
      <c r="B3" s="128" t="s">
        <v>43</v>
      </c>
      <c r="C3" s="10" t="s">
        <v>37</v>
      </c>
      <c r="D3" s="52" t="s">
        <v>61</v>
      </c>
    </row>
    <row r="4" spans="2:4" ht="15.6" x14ac:dyDescent="0.3">
      <c r="B4" s="128"/>
      <c r="C4" s="10" t="s">
        <v>38</v>
      </c>
      <c r="D4" s="52" t="s">
        <v>56</v>
      </c>
    </row>
    <row r="5" spans="2:4" ht="30" x14ac:dyDescent="0.3">
      <c r="B5" s="128"/>
      <c r="C5" s="10" t="s">
        <v>3</v>
      </c>
      <c r="D5" s="53" t="s">
        <v>62</v>
      </c>
    </row>
    <row r="6" spans="2:4" ht="15" customHeight="1" x14ac:dyDescent="0.3">
      <c r="B6" s="128" t="s">
        <v>58</v>
      </c>
      <c r="C6" s="10" t="s">
        <v>37</v>
      </c>
      <c r="D6" s="54" t="s">
        <v>63</v>
      </c>
    </row>
    <row r="7" spans="2:4" ht="15.6" x14ac:dyDescent="0.3">
      <c r="B7" s="128"/>
      <c r="C7" s="10" t="s">
        <v>38</v>
      </c>
      <c r="D7" s="52" t="s">
        <v>53</v>
      </c>
    </row>
    <row r="8" spans="2:4" ht="15.6" x14ac:dyDescent="0.3">
      <c r="B8" s="128"/>
      <c r="C8" s="10" t="s">
        <v>3</v>
      </c>
      <c r="D8" s="53" t="s">
        <v>64</v>
      </c>
    </row>
    <row r="9" spans="2:4" ht="15.6" x14ac:dyDescent="0.3">
      <c r="B9" s="128" t="s">
        <v>59</v>
      </c>
      <c r="C9" s="10" t="s">
        <v>37</v>
      </c>
      <c r="D9" s="52" t="s">
        <v>65</v>
      </c>
    </row>
    <row r="10" spans="2:4" ht="15.6" x14ac:dyDescent="0.3">
      <c r="B10" s="128"/>
      <c r="C10" s="10" t="s">
        <v>38</v>
      </c>
      <c r="D10" s="52" t="s">
        <v>54</v>
      </c>
    </row>
    <row r="11" spans="2:4" ht="30" x14ac:dyDescent="0.3">
      <c r="B11" s="128"/>
      <c r="C11" s="10" t="s">
        <v>3</v>
      </c>
      <c r="D11" s="53" t="s">
        <v>66</v>
      </c>
    </row>
    <row r="12" spans="2:4" ht="15.6" x14ac:dyDescent="0.3">
      <c r="B12" s="128" t="s">
        <v>60</v>
      </c>
      <c r="C12" s="10" t="s">
        <v>37</v>
      </c>
      <c r="D12" s="52" t="s">
        <v>67</v>
      </c>
    </row>
    <row r="13" spans="2:4" ht="15.6" x14ac:dyDescent="0.3">
      <c r="B13" s="128"/>
      <c r="C13" s="10" t="s">
        <v>38</v>
      </c>
      <c r="D13" s="52" t="s">
        <v>44</v>
      </c>
    </row>
    <row r="14" spans="2:4" ht="75" x14ac:dyDescent="0.3">
      <c r="B14" s="128"/>
      <c r="C14" s="10" t="s">
        <v>3</v>
      </c>
      <c r="D14" s="53" t="s">
        <v>68</v>
      </c>
    </row>
    <row r="15" spans="2:4" ht="15.6" x14ac:dyDescent="0.3">
      <c r="B15" s="128" t="s">
        <v>39</v>
      </c>
      <c r="C15" s="10" t="s">
        <v>37</v>
      </c>
      <c r="D15" s="52" t="s">
        <v>25</v>
      </c>
    </row>
    <row r="16" spans="2:4" ht="15.6" x14ac:dyDescent="0.3">
      <c r="B16" s="128"/>
      <c r="C16" s="10" t="s">
        <v>38</v>
      </c>
      <c r="D16" s="52" t="s">
        <v>50</v>
      </c>
    </row>
    <row r="17" spans="2:4" ht="30" x14ac:dyDescent="0.3">
      <c r="B17" s="128"/>
      <c r="C17" s="10" t="s">
        <v>3</v>
      </c>
      <c r="D17" s="53" t="s">
        <v>69</v>
      </c>
    </row>
    <row r="19" spans="2:4" x14ac:dyDescent="0.3">
      <c r="B19" s="98"/>
      <c r="C19" s="98"/>
      <c r="D19" s="98"/>
    </row>
  </sheetData>
  <mergeCells count="6">
    <mergeCell ref="B19:D19"/>
    <mergeCell ref="B3:B5"/>
    <mergeCell ref="B6:B8"/>
    <mergeCell ref="B9:B11"/>
    <mergeCell ref="B12:B14"/>
    <mergeCell ref="B15:B17"/>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0B0118-F94D-48E8-8509-3DDF7A0EA9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NPT 011 - Anexo A - Tabela 1</vt:lpstr>
      <vt:lpstr>CÁLCULO DETERMINÍSTICO</vt:lpstr>
      <vt:lpstr>CÁLCULO PROBABILÍSTICO</vt:lpstr>
      <vt:lpstr>SAIDAS DE EMERGÊNCIA</vt:lpstr>
      <vt:lpstr>CLASSIFICAÇÃO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Windows 11</cp:lastModifiedBy>
  <cp:lastPrinted>2022-10-12T15:00:12Z</cp:lastPrinted>
  <dcterms:created xsi:type="dcterms:W3CDTF">2022-07-06T19:49:06Z</dcterms:created>
  <dcterms:modified xsi:type="dcterms:W3CDTF">2025-10-31T15:11:00Z</dcterms:modified>
</cp:coreProperties>
</file>