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ZO4-eCwJoiJLfnxA7nHWnmZMDnGU3lIY\1 - MODELOS\1 - ELABORAÇÃO DO PROJETO DE PREVENÇÃO CONTRA INCÊNDIO\"/>
    </mc:Choice>
  </mc:AlternateContent>
  <xr:revisionPtr revIDLastSave="0" documentId="13_ncr:1_{29878171-BA1F-4F13-B4AA-35B349FD5DB2}" xr6:coauthVersionLast="43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ULO" sheetId="1" r:id="rId1"/>
    <sheet name="ALFA" sheetId="3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0" i="1" l="1"/>
  <c r="B30" i="1"/>
  <c r="E12" i="1"/>
  <c r="B12" i="1"/>
  <c r="C71" i="3"/>
  <c r="D71" i="3"/>
  <c r="E71" i="3"/>
  <c r="F71" i="3"/>
  <c r="G71" i="3"/>
  <c r="H71" i="3"/>
  <c r="I71" i="3"/>
  <c r="J71" i="3"/>
  <c r="K71" i="3"/>
  <c r="C72" i="3"/>
  <c r="D72" i="3"/>
  <c r="E72" i="3"/>
  <c r="F72" i="3"/>
  <c r="G72" i="3"/>
  <c r="H72" i="3"/>
  <c r="I72" i="3"/>
  <c r="J72" i="3"/>
  <c r="K72" i="3"/>
  <c r="C73" i="3"/>
  <c r="D73" i="3"/>
  <c r="E73" i="3"/>
  <c r="F73" i="3"/>
  <c r="G73" i="3"/>
  <c r="H73" i="3"/>
  <c r="I73" i="3"/>
  <c r="J73" i="3"/>
  <c r="K73" i="3"/>
  <c r="C74" i="3"/>
  <c r="D74" i="3"/>
  <c r="E74" i="3"/>
  <c r="F74" i="3"/>
  <c r="G74" i="3"/>
  <c r="H74" i="3"/>
  <c r="I74" i="3"/>
  <c r="J74" i="3"/>
  <c r="K74" i="3"/>
  <c r="C75" i="3"/>
  <c r="D75" i="3"/>
  <c r="E75" i="3"/>
  <c r="F75" i="3"/>
  <c r="G75" i="3"/>
  <c r="H75" i="3"/>
  <c r="I75" i="3"/>
  <c r="J75" i="3"/>
  <c r="K75" i="3"/>
  <c r="C76" i="3"/>
  <c r="D76" i="3"/>
  <c r="E76" i="3"/>
  <c r="F76" i="3"/>
  <c r="G76" i="3"/>
  <c r="H76" i="3"/>
  <c r="I76" i="3"/>
  <c r="J76" i="3"/>
  <c r="K76" i="3"/>
  <c r="C77" i="3"/>
  <c r="D77" i="3"/>
  <c r="E77" i="3"/>
  <c r="F77" i="3"/>
  <c r="G77" i="3"/>
  <c r="H77" i="3"/>
  <c r="I77" i="3"/>
  <c r="J77" i="3"/>
  <c r="K77" i="3"/>
  <c r="C78" i="3"/>
  <c r="D78" i="3"/>
  <c r="E78" i="3"/>
  <c r="F78" i="3"/>
  <c r="G78" i="3"/>
  <c r="H78" i="3"/>
  <c r="I78" i="3"/>
  <c r="J78" i="3"/>
  <c r="K78" i="3"/>
  <c r="C79" i="3"/>
  <c r="D79" i="3"/>
  <c r="E79" i="3"/>
  <c r="F79" i="3"/>
  <c r="G79" i="3"/>
  <c r="H79" i="3"/>
  <c r="I79" i="3"/>
  <c r="J79" i="3"/>
  <c r="K79" i="3"/>
  <c r="C80" i="3"/>
  <c r="D80" i="3"/>
  <c r="E80" i="3"/>
  <c r="F80" i="3"/>
  <c r="G80" i="3"/>
  <c r="H80" i="3"/>
  <c r="I80" i="3"/>
  <c r="J80" i="3"/>
  <c r="K80" i="3"/>
  <c r="C81" i="3"/>
  <c r="D81" i="3"/>
  <c r="E81" i="3"/>
  <c r="F81" i="3"/>
  <c r="G81" i="3"/>
  <c r="H81" i="3"/>
  <c r="I81" i="3"/>
  <c r="J81" i="3"/>
  <c r="K81" i="3"/>
  <c r="C82" i="3"/>
  <c r="D82" i="3"/>
  <c r="E82" i="3"/>
  <c r="F82" i="3"/>
  <c r="G82" i="3"/>
  <c r="H82" i="3"/>
  <c r="I82" i="3"/>
  <c r="J82" i="3"/>
  <c r="K82" i="3"/>
  <c r="C83" i="3"/>
  <c r="D83" i="3"/>
  <c r="E83" i="3"/>
  <c r="F83" i="3"/>
  <c r="G83" i="3"/>
  <c r="H83" i="3"/>
  <c r="I83" i="3"/>
  <c r="J83" i="3"/>
  <c r="K83" i="3"/>
  <c r="C84" i="3"/>
  <c r="D84" i="3"/>
  <c r="E84" i="3"/>
  <c r="F84" i="3"/>
  <c r="G84" i="3"/>
  <c r="H84" i="3"/>
  <c r="I84" i="3"/>
  <c r="J84" i="3"/>
  <c r="K84" i="3"/>
  <c r="C85" i="3"/>
  <c r="D85" i="3"/>
  <c r="E85" i="3"/>
  <c r="F85" i="3"/>
  <c r="G85" i="3"/>
  <c r="H85" i="3"/>
  <c r="I85" i="3"/>
  <c r="J85" i="3"/>
  <c r="K85" i="3"/>
  <c r="C86" i="3"/>
  <c r="D86" i="3"/>
  <c r="E86" i="3"/>
  <c r="F86" i="3"/>
  <c r="G86" i="3"/>
  <c r="H86" i="3"/>
  <c r="I86" i="3"/>
  <c r="J86" i="3"/>
  <c r="K86" i="3"/>
  <c r="D70" i="3"/>
  <c r="E70" i="3"/>
  <c r="F70" i="3"/>
  <c r="G70" i="3"/>
  <c r="H70" i="3"/>
  <c r="I70" i="3"/>
  <c r="J70" i="3"/>
  <c r="K70" i="3"/>
  <c r="C70" i="3"/>
  <c r="D41" i="1"/>
  <c r="D42" i="1" l="1"/>
  <c r="F37" i="1"/>
  <c r="C37" i="1"/>
  <c r="C38" i="1" s="1"/>
  <c r="F34" i="1"/>
  <c r="C34" i="1"/>
  <c r="F33" i="1"/>
  <c r="C33" i="1"/>
  <c r="F38" i="1" l="1"/>
  <c r="F35" i="1"/>
  <c r="C35" i="1"/>
  <c r="F19" i="1"/>
  <c r="F20" i="1" s="1"/>
  <c r="C19" i="1"/>
  <c r="F16" i="1"/>
  <c r="F15" i="1"/>
  <c r="C16" i="1"/>
  <c r="C15" i="1"/>
  <c r="C17" i="1" s="1"/>
  <c r="B21" i="1" l="1"/>
  <c r="B22" i="1" s="1"/>
  <c r="D23" i="1" s="1"/>
  <c r="D24" i="1" s="1"/>
  <c r="C20" i="1"/>
  <c r="F17" i="1"/>
  <c r="E21" i="1" s="1"/>
  <c r="E22" i="1" s="1"/>
</calcChain>
</file>

<file path=xl/sharedStrings.xml><?xml version="1.0" encoding="utf-8"?>
<sst xmlns="http://schemas.openxmlformats.org/spreadsheetml/2006/main" count="111" uniqueCount="45">
  <si>
    <t>Descrição:</t>
  </si>
  <si>
    <t>Obra:</t>
  </si>
  <si>
    <t>Proprietário:</t>
  </si>
  <si>
    <t>Responsável Tecnico:</t>
  </si>
  <si>
    <t>Características da fachada</t>
  </si>
  <si>
    <t>Largura (m)</t>
  </si>
  <si>
    <t>Altura (m)</t>
  </si>
  <si>
    <t>L/A</t>
  </si>
  <si>
    <t>A/L</t>
  </si>
  <si>
    <t>Relação L/A</t>
  </si>
  <si>
    <t>Percentual de abertura das fachadas</t>
  </si>
  <si>
    <t>Aberturas (m²)</t>
  </si>
  <si>
    <t>Fachada (m²)</t>
  </si>
  <si>
    <t>%</t>
  </si>
  <si>
    <t>Classe de Severidade</t>
  </si>
  <si>
    <t>Carga de Incêndio (MJ/m²)</t>
  </si>
  <si>
    <t>Endereço:</t>
  </si>
  <si>
    <t>Cidade possui Corpo de Bombeiros?</t>
  </si>
  <si>
    <t>Sim</t>
  </si>
  <si>
    <t>Não</t>
  </si>
  <si>
    <t>Indice α (Tabela A-1 NPT 007)</t>
  </si>
  <si>
    <t>Distância (m)</t>
  </si>
  <si>
    <t>Distância existente (m)</t>
  </si>
  <si>
    <t>Ocupação:</t>
  </si>
  <si>
    <t>EDIFICAÇÃO 1</t>
  </si>
  <si>
    <t>Escritório</t>
  </si>
  <si>
    <t>D-1</t>
  </si>
  <si>
    <t>EDIFICAÇÃO 2</t>
  </si>
  <si>
    <t>Verificado pela Tabela 3</t>
  </si>
  <si>
    <t>Depósito</t>
  </si>
  <si>
    <t>J-4</t>
  </si>
  <si>
    <t>Distância mínima requerida entre as edificações (m)</t>
  </si>
  <si>
    <t>ESCOLHE AUTOMÁTICO!</t>
  </si>
  <si>
    <t>Tem sprinkler?</t>
  </si>
  <si>
    <t>I</t>
  </si>
  <si>
    <t>II</t>
  </si>
  <si>
    <t>III</t>
  </si>
  <si>
    <t>TABELA CLASSE I</t>
  </si>
  <si>
    <t>TABELA CLASSE II</t>
  </si>
  <si>
    <t>TABELA CLASSE III</t>
  </si>
  <si>
    <t>VERIFICAR MANUALMENTE</t>
  </si>
  <si>
    <t>CÁLCULO AUTOMÁTICO</t>
  </si>
  <si>
    <t>TABELA CLASSE I COM SPRINKLER</t>
  </si>
  <si>
    <t>I (considerando 50% do valor de alfa devido a existência de sprinkler)</t>
  </si>
  <si>
    <t>ATENÇÃO! PREENCHER APENAS AS CÉLULAS EM BRANCO! AS DEMAIS PREENCHEM SOZINHAS!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</si>
</sst>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2" fontId="0" fillId="3" borderId="6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9" fontId="0" fillId="5" borderId="0" xfId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164" fontId="0" fillId="3" borderId="6" xfId="1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9" fontId="0" fillId="3" borderId="6" xfId="1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6" xfId="0" applyFont="1" applyFill="1" applyBorder="1" applyAlignment="1"/>
    <xf numFmtId="0" fontId="2" fillId="0" borderId="19" xfId="0" applyFont="1" applyFill="1" applyBorder="1"/>
    <xf numFmtId="0" fontId="2" fillId="0" borderId="16" xfId="0" applyFont="1" applyFill="1" applyBorder="1"/>
    <xf numFmtId="0" fontId="2" fillId="0" borderId="19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19" xfId="0" applyFont="1" applyFill="1" applyBorder="1"/>
    <xf numFmtId="0" fontId="0" fillId="0" borderId="22" xfId="0" applyFont="1" applyFill="1" applyBorder="1"/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0" xfId="0" applyFont="1" applyFill="1" applyBorder="1"/>
    <xf numFmtId="0" fontId="0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7" borderId="0" xfId="0" applyFill="1"/>
    <xf numFmtId="0" fontId="0" fillId="7" borderId="34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</xdr:colOff>
      <xdr:row>1</xdr:row>
      <xdr:rowOff>53342</xdr:rowOff>
    </xdr:from>
    <xdr:to>
      <xdr:col>0</xdr:col>
      <xdr:colOff>1689735</xdr:colOff>
      <xdr:row>5</xdr:row>
      <xdr:rowOff>136486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4C20024-BD97-4416-AA09-04C8FD467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6" t="35828" r="24665" b="37466"/>
        <a:stretch/>
      </xdr:blipFill>
      <xdr:spPr>
        <a:xfrm>
          <a:off x="97155" y="243842"/>
          <a:ext cx="1592580" cy="814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workbookViewId="0">
      <selection activeCell="H21" sqref="H21"/>
    </sheetView>
  </sheetViews>
  <sheetFormatPr defaultRowHeight="15" x14ac:dyDescent="0.25"/>
  <cols>
    <col min="1" max="1" width="25.85546875" style="12" customWidth="1"/>
    <col min="2" max="2" width="13.7109375" style="12" bestFit="1" customWidth="1"/>
    <col min="3" max="3" width="19.42578125" style="12" customWidth="1"/>
    <col min="4" max="4" width="27.42578125" style="12" customWidth="1"/>
    <col min="5" max="5" width="13" style="12" customWidth="1"/>
    <col min="6" max="6" width="18.28515625" style="12" customWidth="1"/>
    <col min="7" max="7" width="24.28515625" bestFit="1" customWidth="1"/>
    <col min="8" max="8" width="34" customWidth="1"/>
    <col min="13" max="13" width="11.28515625" hidden="1" customWidth="1"/>
    <col min="14" max="14" width="8.85546875" hidden="1" customWidth="1"/>
  </cols>
  <sheetData>
    <row r="1" spans="1:14" ht="15.75" thickBot="1" x14ac:dyDescent="0.3">
      <c r="A1"/>
      <c r="B1"/>
      <c r="C1"/>
      <c r="D1"/>
      <c r="E1"/>
      <c r="F1"/>
    </row>
    <row r="2" spans="1:14" x14ac:dyDescent="0.25">
      <c r="A2" s="67"/>
      <c r="B2" s="33" t="s">
        <v>1</v>
      </c>
      <c r="C2" s="34"/>
      <c r="D2" s="42"/>
      <c r="E2" s="43"/>
      <c r="F2" s="44"/>
      <c r="H2" s="30" t="s">
        <v>44</v>
      </c>
      <c r="N2" t="s">
        <v>18</v>
      </c>
    </row>
    <row r="3" spans="1:14" x14ac:dyDescent="0.25">
      <c r="A3" s="68"/>
      <c r="B3" s="35" t="s">
        <v>2</v>
      </c>
      <c r="C3" s="36"/>
      <c r="D3" s="45"/>
      <c r="E3" s="46"/>
      <c r="F3" s="47"/>
      <c r="H3" s="31"/>
      <c r="N3" t="s">
        <v>19</v>
      </c>
    </row>
    <row r="4" spans="1:14" x14ac:dyDescent="0.25">
      <c r="A4" s="68"/>
      <c r="B4" s="35" t="s">
        <v>3</v>
      </c>
      <c r="C4" s="36"/>
      <c r="D4" s="45"/>
      <c r="E4" s="46"/>
      <c r="F4" s="47"/>
      <c r="H4" s="31"/>
    </row>
    <row r="5" spans="1:14" x14ac:dyDescent="0.25">
      <c r="A5" s="68"/>
      <c r="B5" s="35" t="s">
        <v>16</v>
      </c>
      <c r="C5" s="36"/>
      <c r="D5" s="45"/>
      <c r="E5" s="46"/>
      <c r="F5" s="47"/>
      <c r="H5" s="31"/>
    </row>
    <row r="6" spans="1:14" ht="15.75" thickBot="1" x14ac:dyDescent="0.3">
      <c r="A6" s="69"/>
      <c r="B6" s="37" t="s">
        <v>17</v>
      </c>
      <c r="C6" s="38"/>
      <c r="D6" s="39" t="s">
        <v>18</v>
      </c>
      <c r="E6" s="40"/>
      <c r="F6" s="41"/>
      <c r="H6" s="32"/>
    </row>
    <row r="7" spans="1:14" x14ac:dyDescent="0.25">
      <c r="A7" s="52" t="s">
        <v>24</v>
      </c>
      <c r="B7" s="53"/>
      <c r="C7" s="54"/>
      <c r="D7" s="52" t="s">
        <v>27</v>
      </c>
      <c r="E7" s="53"/>
      <c r="F7" s="54"/>
    </row>
    <row r="8" spans="1:14" x14ac:dyDescent="0.25">
      <c r="A8" s="2" t="s">
        <v>0</v>
      </c>
      <c r="B8" s="55" t="s">
        <v>25</v>
      </c>
      <c r="C8" s="56"/>
      <c r="D8" s="2" t="s">
        <v>0</v>
      </c>
      <c r="E8" s="55" t="s">
        <v>29</v>
      </c>
      <c r="F8" s="56"/>
    </row>
    <row r="9" spans="1:14" x14ac:dyDescent="0.25">
      <c r="A9" s="2" t="s">
        <v>23</v>
      </c>
      <c r="B9" s="45" t="s">
        <v>26</v>
      </c>
      <c r="C9" s="47"/>
      <c r="D9" s="2" t="s">
        <v>23</v>
      </c>
      <c r="E9" s="45" t="s">
        <v>30</v>
      </c>
      <c r="F9" s="47"/>
    </row>
    <row r="10" spans="1:14" x14ac:dyDescent="0.25">
      <c r="A10" s="2" t="s">
        <v>15</v>
      </c>
      <c r="B10" s="55">
        <v>200</v>
      </c>
      <c r="C10" s="56"/>
      <c r="D10" s="2" t="s">
        <v>15</v>
      </c>
      <c r="E10" s="55">
        <v>1500</v>
      </c>
      <c r="F10" s="56"/>
    </row>
    <row r="11" spans="1:14" x14ac:dyDescent="0.25">
      <c r="A11" s="14" t="s">
        <v>33</v>
      </c>
      <c r="B11" s="45" t="s">
        <v>18</v>
      </c>
      <c r="C11" s="47"/>
      <c r="D11" s="14" t="s">
        <v>33</v>
      </c>
      <c r="E11" s="45" t="s">
        <v>19</v>
      </c>
      <c r="F11" s="47"/>
    </row>
    <row r="12" spans="1:14" ht="31.9" customHeight="1" x14ac:dyDescent="0.25">
      <c r="A12" s="14" t="s">
        <v>14</v>
      </c>
      <c r="B12" s="63" t="str">
        <f>IF(B11="sim", IF(B10&gt;1460,"II",IF(B10&gt;681,"I", "I (considerando 50% do valor de alfa devido a existência de sprinkler)")),IF(B10&gt;1460,"III",IF(B10&gt;681,"II","I")))</f>
        <v>I (considerando 50% do valor de alfa devido a existência de sprinkler)</v>
      </c>
      <c r="C12" s="64"/>
      <c r="D12" s="14" t="s">
        <v>14</v>
      </c>
      <c r="E12" s="63" t="str">
        <f>IF(E11="sim", IF(E10&gt;1460,"II",IF(E10&gt;681,"I", "I (considerando 50% do valor de alfa devido a existência de sprinkler)")),IF(E10&gt;1460,"III",IF(E10&gt;681,"II","I")))</f>
        <v>III</v>
      </c>
      <c r="F12" s="64"/>
    </row>
    <row r="13" spans="1:14" x14ac:dyDescent="0.25">
      <c r="A13" s="51" t="s">
        <v>4</v>
      </c>
      <c r="B13" s="3" t="s">
        <v>5</v>
      </c>
      <c r="C13" s="6">
        <v>12</v>
      </c>
      <c r="D13" s="51" t="s">
        <v>4</v>
      </c>
      <c r="E13" s="3" t="s">
        <v>5</v>
      </c>
      <c r="F13" s="6">
        <v>6</v>
      </c>
    </row>
    <row r="14" spans="1:14" x14ac:dyDescent="0.25">
      <c r="A14" s="51"/>
      <c r="B14" s="3" t="s">
        <v>6</v>
      </c>
      <c r="C14" s="6">
        <v>9</v>
      </c>
      <c r="D14" s="51"/>
      <c r="E14" s="3" t="s">
        <v>6</v>
      </c>
      <c r="F14" s="6">
        <v>9</v>
      </c>
    </row>
    <row r="15" spans="1:14" x14ac:dyDescent="0.25">
      <c r="A15" s="51"/>
      <c r="B15" s="3" t="s">
        <v>7</v>
      </c>
      <c r="C15" s="5">
        <f>C13/C14</f>
        <v>1.3333333333333333</v>
      </c>
      <c r="D15" s="51"/>
      <c r="E15" s="3" t="s">
        <v>7</v>
      </c>
      <c r="F15" s="5">
        <f>F13/F14</f>
        <v>0.66666666666666663</v>
      </c>
    </row>
    <row r="16" spans="1:14" x14ac:dyDescent="0.25">
      <c r="A16" s="51"/>
      <c r="B16" s="3" t="s">
        <v>8</v>
      </c>
      <c r="C16" s="5">
        <f>C14/C13</f>
        <v>0.75</v>
      </c>
      <c r="D16" s="51"/>
      <c r="E16" s="3" t="s">
        <v>8</v>
      </c>
      <c r="F16" s="5">
        <f>F14/F13</f>
        <v>1.5</v>
      </c>
    </row>
    <row r="17" spans="1:7" x14ac:dyDescent="0.25">
      <c r="A17" s="51"/>
      <c r="B17" s="3" t="s">
        <v>9</v>
      </c>
      <c r="C17" s="5">
        <f>IF(C15&gt;C16,C15,C16)</f>
        <v>1.3333333333333333</v>
      </c>
      <c r="D17" s="51"/>
      <c r="E17" s="3" t="s">
        <v>9</v>
      </c>
      <c r="F17" s="5">
        <f>IF(F15&gt;F16,F15,F16)</f>
        <v>1.5</v>
      </c>
    </row>
    <row r="18" spans="1:7" x14ac:dyDescent="0.25">
      <c r="A18" s="51" t="s">
        <v>10</v>
      </c>
      <c r="B18" s="3" t="s">
        <v>11</v>
      </c>
      <c r="C18" s="6">
        <v>25.8</v>
      </c>
      <c r="D18" s="51" t="s">
        <v>10</v>
      </c>
      <c r="E18" s="3" t="s">
        <v>11</v>
      </c>
      <c r="F18" s="6">
        <v>10</v>
      </c>
    </row>
    <row r="19" spans="1:7" x14ac:dyDescent="0.25">
      <c r="A19" s="51"/>
      <c r="B19" s="3" t="s">
        <v>12</v>
      </c>
      <c r="C19" s="5">
        <f>C13*C14</f>
        <v>108</v>
      </c>
      <c r="D19" s="51"/>
      <c r="E19" s="3" t="s">
        <v>12</v>
      </c>
      <c r="F19" s="5">
        <f>F13*F14</f>
        <v>54</v>
      </c>
    </row>
    <row r="20" spans="1:7" x14ac:dyDescent="0.25">
      <c r="A20" s="51"/>
      <c r="B20" s="3" t="s">
        <v>13</v>
      </c>
      <c r="C20" s="13">
        <f>(C18/C19)</f>
        <v>0.2388888888888889</v>
      </c>
      <c r="D20" s="51"/>
      <c r="E20" s="3" t="s">
        <v>13</v>
      </c>
      <c r="F20" s="15">
        <f>(F18/F19)</f>
        <v>0.18518518518518517</v>
      </c>
    </row>
    <row r="21" spans="1:7" ht="30" x14ac:dyDescent="0.25">
      <c r="A21" s="1" t="s">
        <v>20</v>
      </c>
      <c r="B21" s="65">
        <f>IF(B12="I",(INDEX(ALFA!$C$5:$K$21,MATCH(CALCULO!C17,ALFA!$A$5:$A$21,-1),MATCH(CALCULO!C20,ALFA!$C$4:$K$4,-1))),IF(B12="II",(INDEX(ALFA!$B$27:$K$43,MATCH(CALCULO!C17,ALFA!$A$27:$A$43,-1),MATCH(CALCULO!C20,ALFA!$B$26:$K$26,-1))),IF(B12="III",(INDEX(ALFA!$B$49:$N$65,MATCH(CALCULO!C17,ALFA!$A$49:$A$65,-1),MATCH(CALCULO!C20,ALFA!$B$48:$N$48,-1))),IF(B12=ALFA!$A$69,(INDEX(ALFA!$C$70:$K$86,MATCH(CALCULO!C17,ALFA!$A$70:$A$86,-1),MATCH(CALCULO!C20,ALFA!$C$69:$K$69,-1)))))))</f>
        <v>0.36499999999999999</v>
      </c>
      <c r="C21" s="66"/>
      <c r="D21" s="1" t="s">
        <v>20</v>
      </c>
      <c r="E21" s="65">
        <f>IF(E12="I",(INDEX(ALFA!$C$5:$K$21,MATCH(CALCULO!F17,ALFA!$A$5:$A$21,-1),MATCH(CALCULO!F20,ALFA!$C$4:$K$4,-1))),IF(E12="II",(INDEX(ALFA!$B$27:$K$43,MATCH(CALCULO!F17,ALFA!$A$27:$A$43,-1),MATCH(CALCULO!F20,ALFA!$B$26:$K$26,-1))),IF(E12="III",(INDEX(ALFA!$B$49:$N$65,MATCH(CALCULO!F17,ALFA!$A$49:$A$65,-1),MATCH(CALCULO!F20,ALFA!$B$48:$N$48,-1))))))</f>
        <v>1.52</v>
      </c>
      <c r="F21" s="66"/>
      <c r="G21" t="s">
        <v>41</v>
      </c>
    </row>
    <row r="22" spans="1:7" ht="15.75" thickBot="1" x14ac:dyDescent="0.3">
      <c r="A22" s="4" t="s">
        <v>21</v>
      </c>
      <c r="B22" s="57">
        <f>IF(AND(C13&lt;C14,$D$6=$N$2),(B21*C13+1.5),IF(AND(C13&lt;C14,$D$6=$N$3),(B21*C13+3),IF(AND(C13&gt;C14,$D$6=$N$2),(B21*C14+1.5),IF(AND(C13&gt;C14,$D$6=$N$3),(B21*C14+3)," "))))</f>
        <v>4.7850000000000001</v>
      </c>
      <c r="C22" s="58"/>
      <c r="D22" s="4" t="s">
        <v>21</v>
      </c>
      <c r="E22" s="57">
        <f>IF(AND(F13&lt;F14,$D$6=$N$2),(E21*F13+1.5),IF(AND(F13&lt;F14,$D$6=$N$3),(E21*F13+3),IF(AND(F13&gt;F14,$D$6=$N$2),(E21*F14+1.5),IF(AND(F13&gt;F14,$D$6=$N$3),(E21*F14+3)," "))))</f>
        <v>10.620000000000001</v>
      </c>
      <c r="F22" s="58"/>
    </row>
    <row r="23" spans="1:7" ht="28.9" customHeight="1" thickBot="1" x14ac:dyDescent="0.3">
      <c r="A23" s="59" t="s">
        <v>31</v>
      </c>
      <c r="B23" s="60"/>
      <c r="C23" s="60"/>
      <c r="D23" s="61">
        <f>MAX(B22,E22)</f>
        <v>10.620000000000001</v>
      </c>
      <c r="E23" s="61"/>
      <c r="F23" s="62"/>
      <c r="G23" t="s">
        <v>32</v>
      </c>
    </row>
    <row r="24" spans="1:7" ht="28.9" customHeight="1" thickBot="1" x14ac:dyDescent="0.3">
      <c r="A24" s="7" t="s">
        <v>22</v>
      </c>
      <c r="B24" s="72">
        <v>15</v>
      </c>
      <c r="C24" s="73"/>
      <c r="D24" s="74" t="str">
        <f>IF(B24&gt;D23,"EDIFICAÇÕES ISOLADAS","SEM ISOLAMENTO DE RISCO")</f>
        <v>EDIFICAÇÕES ISOLADAS</v>
      </c>
      <c r="E24" s="75"/>
      <c r="F24" s="76"/>
    </row>
    <row r="25" spans="1:7" x14ac:dyDescent="0.25">
      <c r="A25" s="52" t="s">
        <v>24</v>
      </c>
      <c r="B25" s="53"/>
      <c r="C25" s="54"/>
      <c r="D25" s="52" t="s">
        <v>27</v>
      </c>
      <c r="E25" s="53"/>
      <c r="F25" s="54"/>
    </row>
    <row r="26" spans="1:7" x14ac:dyDescent="0.25">
      <c r="A26" s="2" t="s">
        <v>0</v>
      </c>
      <c r="B26" s="55" t="s">
        <v>25</v>
      </c>
      <c r="C26" s="56"/>
      <c r="D26" s="2" t="s">
        <v>0</v>
      </c>
      <c r="E26" s="55" t="s">
        <v>29</v>
      </c>
      <c r="F26" s="56"/>
    </row>
    <row r="27" spans="1:7" x14ac:dyDescent="0.25">
      <c r="A27" s="2" t="s">
        <v>23</v>
      </c>
      <c r="B27" s="45" t="s">
        <v>26</v>
      </c>
      <c r="C27" s="47"/>
      <c r="D27" s="2" t="s">
        <v>23</v>
      </c>
      <c r="E27" s="45" t="s">
        <v>30</v>
      </c>
      <c r="F27" s="47"/>
    </row>
    <row r="28" spans="1:7" x14ac:dyDescent="0.25">
      <c r="A28" s="2" t="s">
        <v>15</v>
      </c>
      <c r="B28" s="55">
        <v>700</v>
      </c>
      <c r="C28" s="56"/>
      <c r="D28" s="2" t="s">
        <v>15</v>
      </c>
      <c r="E28" s="55">
        <v>1500</v>
      </c>
      <c r="F28" s="56"/>
    </row>
    <row r="29" spans="1:7" x14ac:dyDescent="0.25">
      <c r="A29" s="14" t="s">
        <v>33</v>
      </c>
      <c r="B29" s="45" t="s">
        <v>19</v>
      </c>
      <c r="C29" s="47"/>
      <c r="D29" s="14" t="s">
        <v>33</v>
      </c>
      <c r="E29" s="45" t="s">
        <v>19</v>
      </c>
      <c r="F29" s="47"/>
    </row>
    <row r="30" spans="1:7" ht="33" customHeight="1" x14ac:dyDescent="0.25">
      <c r="A30" s="14" t="s">
        <v>14</v>
      </c>
      <c r="B30" s="63" t="str">
        <f>IF(B29="sim", IF(B28&gt;1460,"II",IF(B28&gt;681,"I", "I (considerando 50% do valor de alfa devido a existência de sprinkler)")),IF(B28&gt;1460,"III",IF(B28&gt;681,"II","I")))</f>
        <v>II</v>
      </c>
      <c r="C30" s="64"/>
      <c r="D30" s="14" t="s">
        <v>14</v>
      </c>
      <c r="E30" s="63" t="str">
        <f>IF(E29="sim", IF(E28&gt;1460,"II",IF(E28&gt;681,"I", "I (considerando 50% do valor de alfa devido a existência de sprinkler)")),IF(E28&gt;1460,"III",IF(E28&gt;681,"II","I")))</f>
        <v>III</v>
      </c>
      <c r="F30" s="64"/>
    </row>
    <row r="31" spans="1:7" x14ac:dyDescent="0.25">
      <c r="A31" s="51" t="s">
        <v>4</v>
      </c>
      <c r="B31" s="3" t="s">
        <v>5</v>
      </c>
      <c r="C31" s="6">
        <v>12</v>
      </c>
      <c r="D31" s="51" t="s">
        <v>4</v>
      </c>
      <c r="E31" s="3" t="s">
        <v>5</v>
      </c>
      <c r="F31" s="6">
        <v>6</v>
      </c>
    </row>
    <row r="32" spans="1:7" x14ac:dyDescent="0.25">
      <c r="A32" s="51"/>
      <c r="B32" s="3" t="s">
        <v>6</v>
      </c>
      <c r="C32" s="6">
        <v>9</v>
      </c>
      <c r="D32" s="51"/>
      <c r="E32" s="3" t="s">
        <v>6</v>
      </c>
      <c r="F32" s="6">
        <v>9</v>
      </c>
    </row>
    <row r="33" spans="1:7" x14ac:dyDescent="0.25">
      <c r="A33" s="51"/>
      <c r="B33" s="3" t="s">
        <v>7</v>
      </c>
      <c r="C33" s="5">
        <f>C31/C32</f>
        <v>1.3333333333333333</v>
      </c>
      <c r="D33" s="51"/>
      <c r="E33" s="3" t="s">
        <v>7</v>
      </c>
      <c r="F33" s="5">
        <f>F31/F32</f>
        <v>0.66666666666666663</v>
      </c>
    </row>
    <row r="34" spans="1:7" x14ac:dyDescent="0.25">
      <c r="A34" s="51"/>
      <c r="B34" s="3" t="s">
        <v>8</v>
      </c>
      <c r="C34" s="5">
        <f>C32/C31</f>
        <v>0.75</v>
      </c>
      <c r="D34" s="51"/>
      <c r="E34" s="3" t="s">
        <v>8</v>
      </c>
      <c r="F34" s="5">
        <f>F32/F31</f>
        <v>1.5</v>
      </c>
    </row>
    <row r="35" spans="1:7" x14ac:dyDescent="0.25">
      <c r="A35" s="51"/>
      <c r="B35" s="3" t="s">
        <v>9</v>
      </c>
      <c r="C35" s="5">
        <f>IF(C33&gt;C34,C33,C34)</f>
        <v>1.3333333333333333</v>
      </c>
      <c r="D35" s="51"/>
      <c r="E35" s="3" t="s">
        <v>9</v>
      </c>
      <c r="F35" s="5">
        <f>IF(F33&gt;F34,F33,F34)</f>
        <v>1.5</v>
      </c>
    </row>
    <row r="36" spans="1:7" x14ac:dyDescent="0.25">
      <c r="A36" s="51" t="s">
        <v>10</v>
      </c>
      <c r="B36" s="3" t="s">
        <v>11</v>
      </c>
      <c r="C36" s="6">
        <v>25.8</v>
      </c>
      <c r="D36" s="51" t="s">
        <v>10</v>
      </c>
      <c r="E36" s="3" t="s">
        <v>11</v>
      </c>
      <c r="F36" s="6">
        <v>10</v>
      </c>
    </row>
    <row r="37" spans="1:7" x14ac:dyDescent="0.25">
      <c r="A37" s="51"/>
      <c r="B37" s="3" t="s">
        <v>12</v>
      </c>
      <c r="C37" s="5">
        <f>C31*C32</f>
        <v>108</v>
      </c>
      <c r="D37" s="51"/>
      <c r="E37" s="3" t="s">
        <v>12</v>
      </c>
      <c r="F37" s="5">
        <f>F31*F32</f>
        <v>54</v>
      </c>
    </row>
    <row r="38" spans="1:7" x14ac:dyDescent="0.25">
      <c r="A38" s="51"/>
      <c r="B38" s="3" t="s">
        <v>13</v>
      </c>
      <c r="C38" s="13">
        <f>(C36/C37)</f>
        <v>0.2388888888888889</v>
      </c>
      <c r="D38" s="51"/>
      <c r="E38" s="3" t="s">
        <v>13</v>
      </c>
      <c r="F38" s="13">
        <f>(F36/F37)</f>
        <v>0.18518518518518517</v>
      </c>
    </row>
    <row r="39" spans="1:7" ht="30" x14ac:dyDescent="0.25">
      <c r="A39" s="1" t="s">
        <v>20</v>
      </c>
      <c r="B39" s="70" t="s">
        <v>28</v>
      </c>
      <c r="C39" s="71"/>
      <c r="D39" s="1" t="s">
        <v>20</v>
      </c>
      <c r="E39" s="70" t="s">
        <v>28</v>
      </c>
      <c r="F39" s="71"/>
      <c r="G39" s="29" t="s">
        <v>40</v>
      </c>
    </row>
    <row r="40" spans="1:7" ht="15.75" thickBot="1" x14ac:dyDescent="0.3">
      <c r="A40" s="4" t="s">
        <v>21</v>
      </c>
      <c r="B40" s="57">
        <v>10</v>
      </c>
      <c r="C40" s="58"/>
      <c r="D40" s="4" t="s">
        <v>21</v>
      </c>
      <c r="E40" s="57">
        <v>5</v>
      </c>
      <c r="F40" s="58"/>
    </row>
    <row r="41" spans="1:7" ht="31.9" customHeight="1" thickBot="1" x14ac:dyDescent="0.3">
      <c r="A41" s="59" t="s">
        <v>31</v>
      </c>
      <c r="B41" s="60"/>
      <c r="C41" s="60"/>
      <c r="D41" s="61">
        <f>MAX(B40,E40)</f>
        <v>10</v>
      </c>
      <c r="E41" s="61"/>
      <c r="F41" s="62"/>
      <c r="G41" t="s">
        <v>32</v>
      </c>
    </row>
    <row r="42" spans="1:7" ht="30.6" customHeight="1" thickBot="1" x14ac:dyDescent="0.3">
      <c r="A42" s="7" t="s">
        <v>22</v>
      </c>
      <c r="B42" s="72">
        <v>15</v>
      </c>
      <c r="C42" s="73"/>
      <c r="D42" s="74" t="str">
        <f>IF(B42&gt;D41,"EDIFICAÇÕES ISOLADAS","SEM ISOLAMENTO DE RISCO")</f>
        <v>EDIFICAÇÕES ISOLADAS</v>
      </c>
      <c r="E42" s="75"/>
      <c r="F42" s="76"/>
    </row>
    <row r="43" spans="1:7" x14ac:dyDescent="0.25">
      <c r="A43" s="49"/>
      <c r="B43" s="49"/>
      <c r="C43" s="49"/>
      <c r="D43" s="49"/>
      <c r="E43" s="49"/>
      <c r="F43" s="49"/>
    </row>
    <row r="44" spans="1:7" x14ac:dyDescent="0.25">
      <c r="A44" s="8"/>
      <c r="B44" s="48"/>
      <c r="C44" s="48"/>
      <c r="D44" s="8"/>
      <c r="E44" s="48"/>
      <c r="F44" s="48"/>
    </row>
    <row r="45" spans="1:7" x14ac:dyDescent="0.25">
      <c r="A45" s="8"/>
      <c r="B45" s="48"/>
      <c r="C45" s="48"/>
      <c r="D45" s="8"/>
      <c r="E45" s="48"/>
      <c r="F45" s="48"/>
    </row>
    <row r="46" spans="1:7" x14ac:dyDescent="0.25">
      <c r="A46" s="8"/>
      <c r="B46" s="48"/>
      <c r="C46" s="48"/>
      <c r="D46" s="8"/>
      <c r="E46" s="48"/>
      <c r="F46" s="48"/>
    </row>
    <row r="47" spans="1:7" x14ac:dyDescent="0.25">
      <c r="A47" s="8"/>
      <c r="B47" s="48"/>
      <c r="C47" s="48"/>
      <c r="D47" s="8"/>
      <c r="E47" s="48"/>
      <c r="F47" s="48"/>
    </row>
    <row r="48" spans="1:7" x14ac:dyDescent="0.25">
      <c r="A48" s="50"/>
      <c r="B48" s="8"/>
      <c r="C48" s="9"/>
      <c r="D48" s="50"/>
      <c r="E48" s="8"/>
      <c r="F48" s="9"/>
    </row>
    <row r="49" spans="1:6" x14ac:dyDescent="0.25">
      <c r="A49" s="50"/>
      <c r="B49" s="8"/>
      <c r="C49" s="9"/>
      <c r="D49" s="50"/>
      <c r="E49" s="8"/>
      <c r="F49" s="9"/>
    </row>
    <row r="50" spans="1:6" x14ac:dyDescent="0.25">
      <c r="A50" s="50"/>
      <c r="B50" s="8"/>
      <c r="C50" s="9"/>
      <c r="D50" s="50"/>
      <c r="E50" s="8"/>
      <c r="F50" s="9"/>
    </row>
    <row r="51" spans="1:6" x14ac:dyDescent="0.25">
      <c r="A51" s="50"/>
      <c r="B51" s="8"/>
      <c r="C51" s="9"/>
      <c r="D51" s="50"/>
      <c r="E51" s="8"/>
      <c r="F51" s="9"/>
    </row>
    <row r="52" spans="1:6" x14ac:dyDescent="0.25">
      <c r="A52" s="50"/>
      <c r="B52" s="8"/>
      <c r="C52" s="9"/>
      <c r="D52" s="50"/>
      <c r="E52" s="8"/>
      <c r="F52" s="9"/>
    </row>
    <row r="53" spans="1:6" x14ac:dyDescent="0.25">
      <c r="A53" s="50"/>
      <c r="B53" s="8"/>
      <c r="C53" s="9"/>
      <c r="D53" s="50"/>
      <c r="E53" s="8"/>
      <c r="F53" s="9"/>
    </row>
    <row r="54" spans="1:6" x14ac:dyDescent="0.25">
      <c r="A54" s="50"/>
      <c r="B54" s="8"/>
      <c r="C54" s="9"/>
      <c r="D54" s="50"/>
      <c r="E54" s="8"/>
      <c r="F54" s="9"/>
    </row>
    <row r="55" spans="1:6" x14ac:dyDescent="0.25">
      <c r="A55" s="50"/>
      <c r="B55" s="8"/>
      <c r="C55" s="10"/>
      <c r="D55" s="50"/>
      <c r="E55" s="8"/>
      <c r="F55" s="10"/>
    </row>
    <row r="56" spans="1:6" x14ac:dyDescent="0.25">
      <c r="A56" s="11"/>
      <c r="B56" s="48"/>
      <c r="C56" s="48"/>
      <c r="D56" s="11"/>
      <c r="E56" s="48"/>
      <c r="F56" s="48"/>
    </row>
    <row r="57" spans="1:6" x14ac:dyDescent="0.25">
      <c r="A57" s="11"/>
      <c r="B57" s="48"/>
      <c r="C57" s="48"/>
      <c r="D57" s="11"/>
      <c r="E57" s="48"/>
      <c r="F57" s="48"/>
    </row>
    <row r="58" spans="1:6" ht="30" customHeight="1" x14ac:dyDescent="0.25">
      <c r="A58" s="50"/>
      <c r="B58" s="50"/>
      <c r="C58" s="50"/>
      <c r="D58" s="49"/>
      <c r="E58" s="49"/>
      <c r="F58" s="49"/>
    </row>
    <row r="59" spans="1:6" ht="30" customHeight="1" x14ac:dyDescent="0.25">
      <c r="A59" s="11"/>
      <c r="B59" s="48"/>
      <c r="C59" s="48"/>
      <c r="D59" s="49"/>
      <c r="E59" s="49"/>
      <c r="F59" s="49"/>
    </row>
    <row r="60" spans="1:6" x14ac:dyDescent="0.25">
      <c r="A60" s="49"/>
      <c r="B60" s="49"/>
      <c r="C60" s="49"/>
      <c r="D60" s="49"/>
      <c r="E60" s="49"/>
      <c r="F60" s="49"/>
    </row>
    <row r="61" spans="1:6" x14ac:dyDescent="0.25">
      <c r="A61" s="8"/>
      <c r="B61" s="48"/>
      <c r="C61" s="48"/>
      <c r="D61" s="8"/>
      <c r="E61" s="48"/>
      <c r="F61" s="48"/>
    </row>
    <row r="62" spans="1:6" x14ac:dyDescent="0.25">
      <c r="A62" s="8"/>
      <c r="B62" s="48"/>
      <c r="C62" s="48"/>
      <c r="D62" s="8"/>
      <c r="E62" s="48"/>
      <c r="F62" s="48"/>
    </row>
    <row r="63" spans="1:6" x14ac:dyDescent="0.25">
      <c r="A63" s="8"/>
      <c r="B63" s="48"/>
      <c r="C63" s="48"/>
      <c r="D63" s="8"/>
      <c r="E63" s="48"/>
      <c r="F63" s="48"/>
    </row>
    <row r="64" spans="1:6" x14ac:dyDescent="0.25">
      <c r="A64" s="8"/>
      <c r="B64" s="48"/>
      <c r="C64" s="48"/>
      <c r="D64" s="8"/>
      <c r="E64" s="48"/>
      <c r="F64" s="48"/>
    </row>
    <row r="65" spans="1:6" x14ac:dyDescent="0.25">
      <c r="A65" s="50"/>
      <c r="B65" s="8"/>
      <c r="C65" s="9"/>
      <c r="D65" s="50"/>
      <c r="E65" s="8"/>
      <c r="F65" s="9"/>
    </row>
    <row r="66" spans="1:6" x14ac:dyDescent="0.25">
      <c r="A66" s="50"/>
      <c r="B66" s="8"/>
      <c r="C66" s="9"/>
      <c r="D66" s="50"/>
      <c r="E66" s="8"/>
      <c r="F66" s="9"/>
    </row>
    <row r="67" spans="1:6" x14ac:dyDescent="0.25">
      <c r="A67" s="50"/>
      <c r="B67" s="8"/>
      <c r="C67" s="9"/>
      <c r="D67" s="50"/>
      <c r="E67" s="8"/>
      <c r="F67" s="9"/>
    </row>
    <row r="68" spans="1:6" x14ac:dyDescent="0.25">
      <c r="A68" s="50"/>
      <c r="B68" s="8"/>
      <c r="C68" s="9"/>
      <c r="D68" s="50"/>
      <c r="E68" s="8"/>
      <c r="F68" s="9"/>
    </row>
    <row r="69" spans="1:6" x14ac:dyDescent="0.25">
      <c r="A69" s="50"/>
      <c r="B69" s="8"/>
      <c r="C69" s="9"/>
      <c r="D69" s="50"/>
      <c r="E69" s="8"/>
      <c r="F69" s="9"/>
    </row>
    <row r="70" spans="1:6" x14ac:dyDescent="0.25">
      <c r="A70" s="50"/>
      <c r="B70" s="8"/>
      <c r="C70" s="9"/>
      <c r="D70" s="50"/>
      <c r="E70" s="8"/>
      <c r="F70" s="9"/>
    </row>
    <row r="71" spans="1:6" x14ac:dyDescent="0.25">
      <c r="A71" s="50"/>
      <c r="B71" s="8"/>
      <c r="C71" s="9"/>
      <c r="D71" s="50"/>
      <c r="E71" s="8"/>
      <c r="F71" s="9"/>
    </row>
    <row r="72" spans="1:6" x14ac:dyDescent="0.25">
      <c r="A72" s="50"/>
      <c r="B72" s="8"/>
      <c r="C72" s="10"/>
      <c r="D72" s="50"/>
      <c r="E72" s="8"/>
      <c r="F72" s="10"/>
    </row>
    <row r="73" spans="1:6" x14ac:dyDescent="0.25">
      <c r="A73" s="11"/>
      <c r="B73" s="48"/>
      <c r="C73" s="48"/>
      <c r="D73" s="11"/>
      <c r="E73" s="48"/>
      <c r="F73" s="48"/>
    </row>
    <row r="74" spans="1:6" x14ac:dyDescent="0.25">
      <c r="A74" s="11"/>
      <c r="B74" s="48"/>
      <c r="C74" s="48"/>
      <c r="D74" s="11"/>
      <c r="E74" s="48"/>
      <c r="F74" s="48"/>
    </row>
    <row r="75" spans="1:6" ht="28.9" customHeight="1" x14ac:dyDescent="0.25">
      <c r="A75" s="50"/>
      <c r="B75" s="50"/>
      <c r="C75" s="50"/>
      <c r="D75" s="49"/>
      <c r="E75" s="49"/>
      <c r="F75" s="49"/>
    </row>
    <row r="76" spans="1:6" ht="29.45" customHeight="1" x14ac:dyDescent="0.25">
      <c r="A76" s="11"/>
      <c r="B76" s="48"/>
      <c r="C76" s="48"/>
      <c r="D76" s="49"/>
      <c r="E76" s="49"/>
      <c r="F76" s="49"/>
    </row>
    <row r="77" spans="1:6" x14ac:dyDescent="0.25">
      <c r="A77" s="49"/>
      <c r="B77" s="49"/>
      <c r="C77" s="49"/>
      <c r="D77" s="49"/>
      <c r="E77" s="49"/>
      <c r="F77" s="49"/>
    </row>
    <row r="78" spans="1:6" x14ac:dyDescent="0.25">
      <c r="A78" s="8"/>
      <c r="B78" s="48"/>
      <c r="C78" s="48"/>
      <c r="D78" s="8"/>
      <c r="E78" s="48"/>
      <c r="F78" s="48"/>
    </row>
    <row r="79" spans="1:6" x14ac:dyDescent="0.25">
      <c r="A79" s="8"/>
      <c r="B79" s="48"/>
      <c r="C79" s="48"/>
      <c r="D79" s="8"/>
      <c r="E79" s="48"/>
      <c r="F79" s="48"/>
    </row>
    <row r="80" spans="1:6" x14ac:dyDescent="0.25">
      <c r="A80" s="8"/>
      <c r="B80" s="48"/>
      <c r="C80" s="48"/>
      <c r="D80" s="8"/>
      <c r="E80" s="48"/>
      <c r="F80" s="48"/>
    </row>
    <row r="81" spans="1:6" x14ac:dyDescent="0.25">
      <c r="A81" s="8"/>
      <c r="B81" s="48"/>
      <c r="C81" s="48"/>
      <c r="D81" s="8"/>
      <c r="E81" s="48"/>
      <c r="F81" s="48"/>
    </row>
    <row r="82" spans="1:6" x14ac:dyDescent="0.25">
      <c r="A82" s="50"/>
      <c r="B82" s="8"/>
      <c r="C82" s="9"/>
      <c r="D82" s="50"/>
      <c r="E82" s="8"/>
      <c r="F82" s="9"/>
    </row>
    <row r="83" spans="1:6" x14ac:dyDescent="0.25">
      <c r="A83" s="50"/>
      <c r="B83" s="8"/>
      <c r="C83" s="9"/>
      <c r="D83" s="50"/>
      <c r="E83" s="8"/>
      <c r="F83" s="9"/>
    </row>
    <row r="84" spans="1:6" x14ac:dyDescent="0.25">
      <c r="A84" s="50"/>
      <c r="B84" s="8"/>
      <c r="C84" s="9"/>
      <c r="D84" s="50"/>
      <c r="E84" s="8"/>
      <c r="F84" s="9"/>
    </row>
    <row r="85" spans="1:6" x14ac:dyDescent="0.25">
      <c r="A85" s="50"/>
      <c r="B85" s="8"/>
      <c r="C85" s="9"/>
      <c r="D85" s="50"/>
      <c r="E85" s="8"/>
      <c r="F85" s="9"/>
    </row>
    <row r="86" spans="1:6" x14ac:dyDescent="0.25">
      <c r="A86" s="50"/>
      <c r="B86" s="8"/>
      <c r="C86" s="9"/>
      <c r="D86" s="50"/>
      <c r="E86" s="8"/>
      <c r="F86" s="9"/>
    </row>
    <row r="87" spans="1:6" x14ac:dyDescent="0.25">
      <c r="A87" s="50"/>
      <c r="B87" s="8"/>
      <c r="C87" s="9"/>
      <c r="D87" s="50"/>
      <c r="E87" s="8"/>
      <c r="F87" s="9"/>
    </row>
    <row r="88" spans="1:6" x14ac:dyDescent="0.25">
      <c r="A88" s="50"/>
      <c r="B88" s="8"/>
      <c r="C88" s="9"/>
      <c r="D88" s="50"/>
      <c r="E88" s="8"/>
      <c r="F88" s="9"/>
    </row>
    <row r="89" spans="1:6" x14ac:dyDescent="0.25">
      <c r="A89" s="50"/>
      <c r="B89" s="8"/>
      <c r="C89" s="10"/>
      <c r="D89" s="50"/>
      <c r="E89" s="8"/>
      <c r="F89" s="10"/>
    </row>
    <row r="90" spans="1:6" x14ac:dyDescent="0.25">
      <c r="A90" s="11"/>
      <c r="B90" s="48"/>
      <c r="C90" s="48"/>
      <c r="D90" s="11"/>
      <c r="E90" s="48"/>
      <c r="F90" s="48"/>
    </row>
    <row r="91" spans="1:6" x14ac:dyDescent="0.25">
      <c r="A91" s="11"/>
      <c r="B91" s="48"/>
      <c r="C91" s="48"/>
      <c r="D91" s="11"/>
      <c r="E91" s="48"/>
      <c r="F91" s="48"/>
    </row>
    <row r="92" spans="1:6" x14ac:dyDescent="0.25">
      <c r="A92" s="50"/>
      <c r="B92" s="50"/>
      <c r="C92" s="50"/>
      <c r="D92" s="49"/>
      <c r="E92" s="49"/>
      <c r="F92" s="49"/>
    </row>
    <row r="93" spans="1:6" x14ac:dyDescent="0.25">
      <c r="A93" s="11"/>
      <c r="B93" s="48"/>
      <c r="C93" s="48"/>
      <c r="D93" s="49"/>
      <c r="E93" s="49"/>
      <c r="F93" s="49"/>
    </row>
  </sheetData>
  <sheetProtection selectLockedCells="1" selectUnlockedCells="1"/>
  <mergeCells count="126">
    <mergeCell ref="B57:C57"/>
    <mergeCell ref="E57:F57"/>
    <mergeCell ref="A58:C58"/>
    <mergeCell ref="D58:F58"/>
    <mergeCell ref="A60:C60"/>
    <mergeCell ref="D60:F60"/>
    <mergeCell ref="A43:C43"/>
    <mergeCell ref="D43:F43"/>
    <mergeCell ref="B44:C44"/>
    <mergeCell ref="E44:F44"/>
    <mergeCell ref="B59:C59"/>
    <mergeCell ref="D59:F59"/>
    <mergeCell ref="B73:C73"/>
    <mergeCell ref="E73:F73"/>
    <mergeCell ref="B74:C74"/>
    <mergeCell ref="E74:F74"/>
    <mergeCell ref="B64:C64"/>
    <mergeCell ref="E64:F64"/>
    <mergeCell ref="B63:C63"/>
    <mergeCell ref="E63:F63"/>
    <mergeCell ref="A65:A69"/>
    <mergeCell ref="D65:D69"/>
    <mergeCell ref="A70:A72"/>
    <mergeCell ref="D70:D72"/>
    <mergeCell ref="B61:C61"/>
    <mergeCell ref="B76:C76"/>
    <mergeCell ref="D76:F76"/>
    <mergeCell ref="A75:C75"/>
    <mergeCell ref="D75:F75"/>
    <mergeCell ref="E61:F61"/>
    <mergeCell ref="B62:C62"/>
    <mergeCell ref="E62:F62"/>
    <mergeCell ref="B40:C40"/>
    <mergeCell ref="E40:F40"/>
    <mergeCell ref="A41:C41"/>
    <mergeCell ref="D41:F41"/>
    <mergeCell ref="E56:F56"/>
    <mergeCell ref="B45:C45"/>
    <mergeCell ref="E45:F45"/>
    <mergeCell ref="B46:C46"/>
    <mergeCell ref="E46:F46"/>
    <mergeCell ref="B47:C47"/>
    <mergeCell ref="E47:F47"/>
    <mergeCell ref="A48:A52"/>
    <mergeCell ref="D48:D52"/>
    <mergeCell ref="A53:A55"/>
    <mergeCell ref="D53:D55"/>
    <mergeCell ref="B56:C56"/>
    <mergeCell ref="B42:C42"/>
    <mergeCell ref="D42:F42"/>
    <mergeCell ref="B30:C30"/>
    <mergeCell ref="E30:F30"/>
    <mergeCell ref="B29:C29"/>
    <mergeCell ref="E29:F29"/>
    <mergeCell ref="A31:A35"/>
    <mergeCell ref="D31:D35"/>
    <mergeCell ref="A36:A38"/>
    <mergeCell ref="D36:D38"/>
    <mergeCell ref="B39:C39"/>
    <mergeCell ref="E39:F39"/>
    <mergeCell ref="A2:A6"/>
    <mergeCell ref="A25:C25"/>
    <mergeCell ref="D25:F25"/>
    <mergeCell ref="B26:C26"/>
    <mergeCell ref="E26:F26"/>
    <mergeCell ref="B27:C27"/>
    <mergeCell ref="E27:F27"/>
    <mergeCell ref="B28:C28"/>
    <mergeCell ref="E28:F28"/>
    <mergeCell ref="B24:C24"/>
    <mergeCell ref="D24:F24"/>
    <mergeCell ref="A23:C23"/>
    <mergeCell ref="D23:F23"/>
    <mergeCell ref="B10:C10"/>
    <mergeCell ref="B12:C12"/>
    <mergeCell ref="E10:F10"/>
    <mergeCell ref="E12:F12"/>
    <mergeCell ref="B21:C21"/>
    <mergeCell ref="E21:F21"/>
    <mergeCell ref="B11:C11"/>
    <mergeCell ref="E11:F11"/>
    <mergeCell ref="A13:A17"/>
    <mergeCell ref="D13:D17"/>
    <mergeCell ref="A18:A20"/>
    <mergeCell ref="D18:D20"/>
    <mergeCell ref="A7:C7"/>
    <mergeCell ref="D7:F7"/>
    <mergeCell ref="B8:C8"/>
    <mergeCell ref="B22:C22"/>
    <mergeCell ref="E22:F22"/>
    <mergeCell ref="B9:C9"/>
    <mergeCell ref="E8:F8"/>
    <mergeCell ref="E9:F9"/>
    <mergeCell ref="B79:C79"/>
    <mergeCell ref="E79:F79"/>
    <mergeCell ref="B80:C80"/>
    <mergeCell ref="E80:F80"/>
    <mergeCell ref="B81:C81"/>
    <mergeCell ref="E81:F81"/>
    <mergeCell ref="A77:C77"/>
    <mergeCell ref="D77:F77"/>
    <mergeCell ref="B78:C78"/>
    <mergeCell ref="E78:F78"/>
    <mergeCell ref="B93:C93"/>
    <mergeCell ref="D93:F93"/>
    <mergeCell ref="E90:F90"/>
    <mergeCell ref="B91:C91"/>
    <mergeCell ref="E91:F91"/>
    <mergeCell ref="A92:C92"/>
    <mergeCell ref="D92:F92"/>
    <mergeCell ref="A82:A86"/>
    <mergeCell ref="D82:D86"/>
    <mergeCell ref="A87:A89"/>
    <mergeCell ref="D87:D89"/>
    <mergeCell ref="B90:C90"/>
    <mergeCell ref="H2:H6"/>
    <mergeCell ref="B2:C2"/>
    <mergeCell ref="B3:C3"/>
    <mergeCell ref="B4:C4"/>
    <mergeCell ref="B5:C5"/>
    <mergeCell ref="B6:C6"/>
    <mergeCell ref="D6:F6"/>
    <mergeCell ref="D2:F2"/>
    <mergeCell ref="D3:F3"/>
    <mergeCell ref="D4:F4"/>
    <mergeCell ref="D5:F5"/>
  </mergeCells>
  <conditionalFormatting sqref="D24:F24">
    <cfRule type="containsText" dxfId="9" priority="11" operator="containsText" text="ISOLADAS">
      <formula>NOT(ISERROR(SEARCH("ISOLADAS",D24)))</formula>
    </cfRule>
    <cfRule type="containsText" dxfId="8" priority="12" operator="containsText" text="SEM">
      <formula>NOT(ISERROR(SEARCH("SEM",D24)))</formula>
    </cfRule>
  </conditionalFormatting>
  <conditionalFormatting sqref="D42:F42">
    <cfRule type="containsText" dxfId="7" priority="1" operator="containsText" text="ISOLADAS">
      <formula>NOT(ISERROR(SEARCH("ISOLADAS",D42)))</formula>
    </cfRule>
    <cfRule type="containsText" dxfId="6" priority="2" operator="containsText" text="SEM">
      <formula>NOT(ISERROR(SEARCH("SEM",D42)))</formula>
    </cfRule>
  </conditionalFormatting>
  <conditionalFormatting sqref="D59:F59">
    <cfRule type="containsText" dxfId="5" priority="7" operator="containsText" text="ISOLADAS">
      <formula>NOT(ISERROR(SEARCH("ISOLADAS",D59)))</formula>
    </cfRule>
    <cfRule type="containsText" dxfId="4" priority="8" operator="containsText" text="SEM">
      <formula>NOT(ISERROR(SEARCH("SEM",D59)))</formula>
    </cfRule>
  </conditionalFormatting>
  <conditionalFormatting sqref="D76:F76">
    <cfRule type="containsText" dxfId="3" priority="5" operator="containsText" text="ISOLADAS">
      <formula>NOT(ISERROR(SEARCH("ISOLADAS",D76)))</formula>
    </cfRule>
    <cfRule type="containsText" dxfId="2" priority="6" operator="containsText" text="SEM">
      <formula>NOT(ISERROR(SEARCH("SEM",D76)))</formula>
    </cfRule>
  </conditionalFormatting>
  <conditionalFormatting sqref="D93:F93">
    <cfRule type="containsText" dxfId="1" priority="3" operator="containsText" text="ISOLADAS">
      <formula>NOT(ISERROR(SEARCH("ISOLADAS",D93)))</formula>
    </cfRule>
    <cfRule type="containsText" dxfId="0" priority="4" operator="containsText" text="SEM">
      <formula>NOT(ISERROR(SEARCH("SEM",D93)))</formula>
    </cfRule>
  </conditionalFormatting>
  <dataValidations count="1">
    <dataValidation type="list" allowBlank="1" showInputMessage="1" showErrorMessage="1" sqref="B11:C11 E11:F11 B29:C29 E29:F29 D6" xr:uid="{00000000-0002-0000-0000-000000000000}">
      <formula1>$N$2:$N$3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EC23-99CC-4F3C-B30D-734A64DBD6E2}">
  <dimension ref="A3:N86"/>
  <sheetViews>
    <sheetView workbookViewId="0">
      <selection activeCell="M13" sqref="M13"/>
    </sheetView>
  </sheetViews>
  <sheetFormatPr defaultRowHeight="15" x14ac:dyDescent="0.25"/>
  <cols>
    <col min="1" max="1" width="51.28515625" bestFit="1" customWidth="1"/>
    <col min="2" max="9" width="9.85546875" customWidth="1"/>
    <col min="10" max="19" width="10.85546875" customWidth="1"/>
  </cols>
  <sheetData>
    <row r="3" spans="1:11" x14ac:dyDescent="0.25">
      <c r="A3" t="s">
        <v>37</v>
      </c>
    </row>
    <row r="4" spans="1:11" x14ac:dyDescent="0.25">
      <c r="A4" s="16" t="s">
        <v>34</v>
      </c>
      <c r="B4" s="17"/>
      <c r="C4" s="18">
        <v>1</v>
      </c>
      <c r="D4" s="18">
        <v>0.9</v>
      </c>
      <c r="E4" s="18">
        <v>0.8</v>
      </c>
      <c r="F4" s="18">
        <v>0.7</v>
      </c>
      <c r="G4" s="18">
        <v>0.6</v>
      </c>
      <c r="H4" s="18">
        <v>0.5</v>
      </c>
      <c r="I4" s="18">
        <v>0.4</v>
      </c>
      <c r="J4" s="18">
        <v>0.3</v>
      </c>
      <c r="K4" s="19">
        <v>0.2</v>
      </c>
    </row>
    <row r="5" spans="1:11" x14ac:dyDescent="0.25">
      <c r="A5" s="20">
        <v>40</v>
      </c>
      <c r="B5" s="21"/>
      <c r="C5" s="22">
        <v>5.64</v>
      </c>
      <c r="D5" s="22">
        <v>4.24</v>
      </c>
      <c r="E5" s="22">
        <v>3.53</v>
      </c>
      <c r="F5" s="22">
        <v>2.81</v>
      </c>
      <c r="G5" s="22">
        <v>2.08</v>
      </c>
      <c r="H5" s="22">
        <v>1.71</v>
      </c>
      <c r="I5" s="22">
        <v>1.34</v>
      </c>
      <c r="J5" s="22">
        <v>0.95</v>
      </c>
      <c r="K5" s="23">
        <v>0.51</v>
      </c>
    </row>
    <row r="6" spans="1:11" x14ac:dyDescent="0.25">
      <c r="A6" s="20">
        <v>32</v>
      </c>
      <c r="B6" s="21"/>
      <c r="C6" s="22">
        <v>5.6</v>
      </c>
      <c r="D6" s="22">
        <v>4.22</v>
      </c>
      <c r="E6" s="22">
        <v>3.52</v>
      </c>
      <c r="F6" s="22">
        <v>2.81</v>
      </c>
      <c r="G6" s="22">
        <v>2.08</v>
      </c>
      <c r="H6" s="22">
        <v>1.71</v>
      </c>
      <c r="I6" s="22">
        <v>1.34</v>
      </c>
      <c r="J6" s="22">
        <v>0.95</v>
      </c>
      <c r="K6" s="23">
        <v>0.51</v>
      </c>
    </row>
    <row r="7" spans="1:11" x14ac:dyDescent="0.25">
      <c r="A7" s="20">
        <v>25</v>
      </c>
      <c r="B7" s="21"/>
      <c r="C7" s="22">
        <v>5.52</v>
      </c>
      <c r="D7" s="22">
        <v>4.2</v>
      </c>
      <c r="E7" s="22">
        <v>3.51</v>
      </c>
      <c r="F7" s="22">
        <v>2.8</v>
      </c>
      <c r="G7" s="22">
        <v>2.08</v>
      </c>
      <c r="H7" s="22">
        <v>1.71</v>
      </c>
      <c r="I7" s="22">
        <v>1.34</v>
      </c>
      <c r="J7" s="22">
        <v>0.95</v>
      </c>
      <c r="K7" s="23">
        <v>0.51</v>
      </c>
    </row>
    <row r="8" spans="1:11" x14ac:dyDescent="0.25">
      <c r="A8" s="20">
        <v>20</v>
      </c>
      <c r="B8" s="21"/>
      <c r="C8" s="22">
        <v>5.41</v>
      </c>
      <c r="D8" s="22">
        <v>4.1500000000000004</v>
      </c>
      <c r="E8" s="22">
        <v>3.48</v>
      </c>
      <c r="F8" s="22">
        <v>2.79</v>
      </c>
      <c r="G8" s="22">
        <v>2.08</v>
      </c>
      <c r="H8" s="22">
        <v>1.71</v>
      </c>
      <c r="I8" s="22">
        <v>1.34</v>
      </c>
      <c r="J8" s="22">
        <v>0.95</v>
      </c>
      <c r="K8" s="23">
        <v>0.51</v>
      </c>
    </row>
    <row r="9" spans="1:11" x14ac:dyDescent="0.25">
      <c r="A9" s="20">
        <v>16</v>
      </c>
      <c r="B9" s="21"/>
      <c r="C9" s="22">
        <v>5.24</v>
      </c>
      <c r="D9" s="22">
        <v>4.07</v>
      </c>
      <c r="E9" s="22">
        <v>3.43</v>
      </c>
      <c r="F9" s="22">
        <v>2.77</v>
      </c>
      <c r="G9" s="22">
        <v>2.0699999999999998</v>
      </c>
      <c r="H9" s="22">
        <v>1.71</v>
      </c>
      <c r="I9" s="22">
        <v>1.34</v>
      </c>
      <c r="J9" s="22">
        <v>0.95</v>
      </c>
      <c r="K9" s="23">
        <v>0.51</v>
      </c>
    </row>
    <row r="10" spans="1:11" x14ac:dyDescent="0.25">
      <c r="A10" s="20">
        <v>13</v>
      </c>
      <c r="B10" s="21"/>
      <c r="C10" s="22">
        <v>5.01</v>
      </c>
      <c r="D10" s="22">
        <v>3.95</v>
      </c>
      <c r="E10" s="22">
        <v>3.36</v>
      </c>
      <c r="F10" s="22">
        <v>2.73</v>
      </c>
      <c r="G10" s="22">
        <v>2.0499999999999998</v>
      </c>
      <c r="H10" s="22">
        <v>1.7</v>
      </c>
      <c r="I10" s="22">
        <v>1.33</v>
      </c>
      <c r="J10" s="22">
        <v>0.95</v>
      </c>
      <c r="K10" s="23">
        <v>0.51</v>
      </c>
    </row>
    <row r="11" spans="1:11" x14ac:dyDescent="0.25">
      <c r="A11" s="20">
        <v>10</v>
      </c>
      <c r="B11" s="21"/>
      <c r="C11" s="22">
        <v>4.74</v>
      </c>
      <c r="D11" s="22">
        <v>3.79</v>
      </c>
      <c r="E11" s="22">
        <v>3.26</v>
      </c>
      <c r="F11" s="22">
        <v>2.67</v>
      </c>
      <c r="G11" s="22">
        <v>2.0299999999999998</v>
      </c>
      <c r="H11" s="22">
        <v>1.69</v>
      </c>
      <c r="I11" s="22">
        <v>1.33</v>
      </c>
      <c r="J11" s="22">
        <v>0.94</v>
      </c>
      <c r="K11" s="23">
        <v>0.51</v>
      </c>
    </row>
    <row r="12" spans="1:11" x14ac:dyDescent="0.25">
      <c r="A12" s="20">
        <v>8</v>
      </c>
      <c r="B12" s="21"/>
      <c r="C12" s="22">
        <v>4.43</v>
      </c>
      <c r="D12" s="22">
        <v>3.6</v>
      </c>
      <c r="E12" s="22">
        <v>3.12</v>
      </c>
      <c r="F12" s="22">
        <v>2.59</v>
      </c>
      <c r="G12" s="22">
        <v>1.99</v>
      </c>
      <c r="H12" s="22">
        <v>1.66</v>
      </c>
      <c r="I12" s="22">
        <v>1.32</v>
      </c>
      <c r="J12" s="22">
        <v>0.94</v>
      </c>
      <c r="K12" s="23">
        <v>0.51</v>
      </c>
    </row>
    <row r="13" spans="1:11" x14ac:dyDescent="0.25">
      <c r="A13" s="20">
        <v>6</v>
      </c>
      <c r="B13" s="21"/>
      <c r="C13" s="22">
        <v>4.1100000000000003</v>
      </c>
      <c r="D13" s="22">
        <v>3.37</v>
      </c>
      <c r="E13" s="22">
        <v>2.95</v>
      </c>
      <c r="F13" s="22">
        <v>2.48</v>
      </c>
      <c r="G13" s="22">
        <v>1.93</v>
      </c>
      <c r="H13" s="22">
        <v>1.63</v>
      </c>
      <c r="I13" s="22">
        <v>1.3</v>
      </c>
      <c r="J13" s="22">
        <v>0.93</v>
      </c>
      <c r="K13" s="23">
        <v>0.51</v>
      </c>
    </row>
    <row r="14" spans="1:11" x14ac:dyDescent="0.25">
      <c r="A14" s="20">
        <v>5</v>
      </c>
      <c r="B14" s="21"/>
      <c r="C14" s="22">
        <v>3.77</v>
      </c>
      <c r="D14" s="22">
        <v>3.13</v>
      </c>
      <c r="E14" s="22">
        <v>2.76</v>
      </c>
      <c r="F14" s="22">
        <v>2.34</v>
      </c>
      <c r="G14" s="22">
        <v>1.85</v>
      </c>
      <c r="H14" s="22">
        <v>1.58</v>
      </c>
      <c r="I14" s="22">
        <v>1.27</v>
      </c>
      <c r="J14" s="22">
        <v>0.92</v>
      </c>
      <c r="K14" s="23">
        <v>0.51</v>
      </c>
    </row>
    <row r="15" spans="1:11" x14ac:dyDescent="0.25">
      <c r="A15" s="20">
        <v>4</v>
      </c>
      <c r="B15" s="21"/>
      <c r="C15" s="22">
        <v>3.44</v>
      </c>
      <c r="D15" s="22">
        <v>2.88</v>
      </c>
      <c r="E15" s="22">
        <v>2.5499999999999998</v>
      </c>
      <c r="F15" s="22">
        <v>2.1800000000000002</v>
      </c>
      <c r="G15" s="22">
        <v>1.76</v>
      </c>
      <c r="H15" s="22">
        <v>1.51</v>
      </c>
      <c r="I15" s="22">
        <v>1.23</v>
      </c>
      <c r="J15" s="22">
        <v>0.9</v>
      </c>
      <c r="K15" s="23">
        <v>0.5</v>
      </c>
    </row>
    <row r="16" spans="1:11" x14ac:dyDescent="0.25">
      <c r="A16" s="20">
        <v>3.2</v>
      </c>
      <c r="B16" s="21"/>
      <c r="C16" s="22">
        <v>3.12</v>
      </c>
      <c r="D16" s="22">
        <v>2.63</v>
      </c>
      <c r="E16" s="22">
        <v>2.34</v>
      </c>
      <c r="F16" s="22">
        <v>2.02</v>
      </c>
      <c r="G16" s="22">
        <v>1.64</v>
      </c>
      <c r="H16" s="22">
        <v>1.42</v>
      </c>
      <c r="I16" s="22">
        <v>1.17</v>
      </c>
      <c r="J16" s="22">
        <v>0.88</v>
      </c>
      <c r="K16" s="23">
        <v>0.49</v>
      </c>
    </row>
    <row r="17" spans="1:11" x14ac:dyDescent="0.25">
      <c r="A17" s="20">
        <v>2.5</v>
      </c>
      <c r="B17" s="21"/>
      <c r="C17" s="22">
        <v>2.82</v>
      </c>
      <c r="D17" s="22">
        <v>2.38</v>
      </c>
      <c r="E17" s="22">
        <v>2.13</v>
      </c>
      <c r="F17" s="22">
        <v>1.85</v>
      </c>
      <c r="G17" s="22">
        <v>1.52</v>
      </c>
      <c r="H17" s="22">
        <v>1.33</v>
      </c>
      <c r="I17" s="22">
        <v>1.1000000000000001</v>
      </c>
      <c r="J17" s="22">
        <v>0.84</v>
      </c>
      <c r="K17" s="23">
        <v>0.48</v>
      </c>
    </row>
    <row r="18" spans="1:11" x14ac:dyDescent="0.25">
      <c r="A18" s="20">
        <v>2</v>
      </c>
      <c r="B18" s="21"/>
      <c r="C18" s="22">
        <v>2.54</v>
      </c>
      <c r="D18" s="22">
        <v>2.15</v>
      </c>
      <c r="E18" s="22">
        <v>1.93</v>
      </c>
      <c r="F18" s="22">
        <v>1.68</v>
      </c>
      <c r="G18" s="22">
        <v>1.39</v>
      </c>
      <c r="H18" s="22">
        <v>1.22</v>
      </c>
      <c r="I18" s="22">
        <v>1.02</v>
      </c>
      <c r="J18" s="22">
        <v>0.79</v>
      </c>
      <c r="K18" s="23">
        <v>0.46</v>
      </c>
    </row>
    <row r="19" spans="1:11" x14ac:dyDescent="0.25">
      <c r="A19" s="20">
        <v>1.6</v>
      </c>
      <c r="B19" s="21"/>
      <c r="C19" s="22">
        <v>2.2799999999999998</v>
      </c>
      <c r="D19" s="22">
        <v>1.94</v>
      </c>
      <c r="E19" s="22">
        <v>1.74</v>
      </c>
      <c r="F19" s="22">
        <v>1.52</v>
      </c>
      <c r="G19" s="22">
        <v>1.26</v>
      </c>
      <c r="H19" s="22">
        <v>1.1100000000000001</v>
      </c>
      <c r="I19" s="22">
        <v>0.94</v>
      </c>
      <c r="J19" s="22">
        <v>0.73</v>
      </c>
      <c r="K19" s="23">
        <v>0.44</v>
      </c>
    </row>
    <row r="20" spans="1:11" x14ac:dyDescent="0.25">
      <c r="A20" s="20">
        <v>1.3</v>
      </c>
      <c r="B20" s="21"/>
      <c r="C20" s="22">
        <v>2.04</v>
      </c>
      <c r="D20" s="22">
        <v>1.73</v>
      </c>
      <c r="E20" s="22">
        <v>1.56</v>
      </c>
      <c r="F20" s="22">
        <v>1.37</v>
      </c>
      <c r="G20" s="22">
        <v>1.1399999999999999</v>
      </c>
      <c r="H20" s="22">
        <v>1</v>
      </c>
      <c r="I20" s="22">
        <v>0.8</v>
      </c>
      <c r="J20" s="22">
        <v>0.66</v>
      </c>
      <c r="K20" s="23">
        <v>0.4</v>
      </c>
    </row>
    <row r="21" spans="1:11" x14ac:dyDescent="0.25">
      <c r="A21" s="24">
        <v>1</v>
      </c>
      <c r="B21" s="25"/>
      <c r="C21" s="26">
        <v>1.8</v>
      </c>
      <c r="D21" s="26">
        <v>1.6</v>
      </c>
      <c r="E21" s="26">
        <v>1.4</v>
      </c>
      <c r="F21" s="26">
        <v>1.2</v>
      </c>
      <c r="G21" s="26">
        <v>1</v>
      </c>
      <c r="H21" s="26">
        <v>0.9</v>
      </c>
      <c r="I21" s="26">
        <v>0.8</v>
      </c>
      <c r="J21" s="26">
        <v>0.6</v>
      </c>
      <c r="K21" s="27">
        <v>0.4</v>
      </c>
    </row>
    <row r="25" spans="1:11" x14ac:dyDescent="0.25">
      <c r="A25" t="s">
        <v>38</v>
      </c>
    </row>
    <row r="26" spans="1:11" x14ac:dyDescent="0.25">
      <c r="A26" s="16" t="s">
        <v>35</v>
      </c>
      <c r="B26" s="16">
        <v>1</v>
      </c>
      <c r="C26" s="16">
        <v>0.8</v>
      </c>
      <c r="D26" s="16">
        <v>0.6</v>
      </c>
      <c r="E26" s="16">
        <v>0.5</v>
      </c>
      <c r="F26" s="16">
        <v>0.4</v>
      </c>
      <c r="G26" s="16">
        <v>0.3</v>
      </c>
      <c r="H26" s="16">
        <v>0.25</v>
      </c>
      <c r="I26" s="16">
        <v>0.2</v>
      </c>
      <c r="J26" s="16">
        <v>0.15</v>
      </c>
      <c r="K26" s="16">
        <v>0.1</v>
      </c>
    </row>
    <row r="27" spans="1:11" x14ac:dyDescent="0.25">
      <c r="A27" s="28">
        <v>40</v>
      </c>
      <c r="B27" s="27">
        <v>7.01</v>
      </c>
      <c r="C27" s="27">
        <v>5.64</v>
      </c>
      <c r="D27" s="27">
        <v>4.24</v>
      </c>
      <c r="E27" s="27">
        <v>3.53</v>
      </c>
      <c r="F27" s="27">
        <v>2.81</v>
      </c>
      <c r="G27" s="27">
        <v>2.08</v>
      </c>
      <c r="H27" s="27">
        <v>1.71</v>
      </c>
      <c r="I27" s="27">
        <v>1.34</v>
      </c>
      <c r="J27" s="27">
        <v>0.95</v>
      </c>
      <c r="K27" s="27">
        <v>0.51</v>
      </c>
    </row>
    <row r="28" spans="1:11" x14ac:dyDescent="0.25">
      <c r="A28" s="28">
        <v>32</v>
      </c>
      <c r="B28" s="27">
        <v>6.92</v>
      </c>
      <c r="C28" s="27">
        <v>5.6</v>
      </c>
      <c r="D28" s="27">
        <v>4.22</v>
      </c>
      <c r="E28" s="27">
        <v>3.52</v>
      </c>
      <c r="F28" s="27">
        <v>2.81</v>
      </c>
      <c r="G28" s="27">
        <v>2.08</v>
      </c>
      <c r="H28" s="27">
        <v>1.71</v>
      </c>
      <c r="I28" s="27">
        <v>1.34</v>
      </c>
      <c r="J28" s="27">
        <v>0.95</v>
      </c>
      <c r="K28" s="27">
        <v>0.51</v>
      </c>
    </row>
    <row r="29" spans="1:11" x14ac:dyDescent="0.25">
      <c r="A29" s="28">
        <v>25</v>
      </c>
      <c r="B29" s="27">
        <v>6.77</v>
      </c>
      <c r="C29" s="27">
        <v>5.52</v>
      </c>
      <c r="D29" s="27">
        <v>4.2</v>
      </c>
      <c r="E29" s="27">
        <v>3.51</v>
      </c>
      <c r="F29" s="27">
        <v>2.8</v>
      </c>
      <c r="G29" s="27">
        <v>2.08</v>
      </c>
      <c r="H29" s="27">
        <v>1.71</v>
      </c>
      <c r="I29" s="27">
        <v>1.34</v>
      </c>
      <c r="J29" s="27">
        <v>0.95</v>
      </c>
      <c r="K29" s="27">
        <v>0.51</v>
      </c>
    </row>
    <row r="30" spans="1:11" x14ac:dyDescent="0.25">
      <c r="A30" s="28">
        <v>20</v>
      </c>
      <c r="B30" s="27">
        <v>6.56</v>
      </c>
      <c r="C30" s="27">
        <v>5.41</v>
      </c>
      <c r="D30" s="27">
        <v>4.1500000000000004</v>
      </c>
      <c r="E30" s="27">
        <v>3.48</v>
      </c>
      <c r="F30" s="27">
        <v>2.79</v>
      </c>
      <c r="G30" s="27">
        <v>2.08</v>
      </c>
      <c r="H30" s="27">
        <v>1.71</v>
      </c>
      <c r="I30" s="27">
        <v>1.34</v>
      </c>
      <c r="J30" s="27">
        <v>0.95</v>
      </c>
      <c r="K30" s="27">
        <v>0.51</v>
      </c>
    </row>
    <row r="31" spans="1:11" x14ac:dyDescent="0.25">
      <c r="A31" s="28">
        <v>16</v>
      </c>
      <c r="B31" s="27">
        <v>6.29</v>
      </c>
      <c r="C31" s="27">
        <v>5.24</v>
      </c>
      <c r="D31" s="27">
        <v>4.07</v>
      </c>
      <c r="E31" s="27">
        <v>3.43</v>
      </c>
      <c r="F31" s="27">
        <v>2.77</v>
      </c>
      <c r="G31" s="27">
        <v>2.0699999999999998</v>
      </c>
      <c r="H31" s="27">
        <v>1.71</v>
      </c>
      <c r="I31" s="27">
        <v>1.34</v>
      </c>
      <c r="J31" s="27">
        <v>0.95</v>
      </c>
      <c r="K31" s="27">
        <v>0.51</v>
      </c>
    </row>
    <row r="32" spans="1:11" x14ac:dyDescent="0.25">
      <c r="A32" s="28">
        <v>13</v>
      </c>
      <c r="B32" s="27">
        <v>5.95</v>
      </c>
      <c r="C32" s="27">
        <v>5.01</v>
      </c>
      <c r="D32" s="27">
        <v>3.95</v>
      </c>
      <c r="E32" s="27">
        <v>3.36</v>
      </c>
      <c r="F32" s="27">
        <v>2.73</v>
      </c>
      <c r="G32" s="27">
        <v>2.0499999999999998</v>
      </c>
      <c r="H32" s="27">
        <v>1.7</v>
      </c>
      <c r="I32" s="27">
        <v>1.33</v>
      </c>
      <c r="J32" s="27">
        <v>0.95</v>
      </c>
      <c r="K32" s="27">
        <v>0.51</v>
      </c>
    </row>
    <row r="33" spans="1:14" x14ac:dyDescent="0.25">
      <c r="A33" s="28">
        <v>10</v>
      </c>
      <c r="B33" s="27">
        <v>5.56</v>
      </c>
      <c r="C33" s="27">
        <v>4.74</v>
      </c>
      <c r="D33" s="27">
        <v>3.79</v>
      </c>
      <c r="E33" s="27">
        <v>3.26</v>
      </c>
      <c r="F33" s="27">
        <v>2.67</v>
      </c>
      <c r="G33" s="27">
        <v>2.0299999999999998</v>
      </c>
      <c r="H33" s="27">
        <v>1.69</v>
      </c>
      <c r="I33" s="27">
        <v>1.33</v>
      </c>
      <c r="J33" s="27">
        <v>0.94</v>
      </c>
      <c r="K33" s="27">
        <v>0.51</v>
      </c>
    </row>
    <row r="34" spans="1:14" x14ac:dyDescent="0.25">
      <c r="A34" s="28">
        <v>8</v>
      </c>
      <c r="B34" s="27">
        <v>5.16</v>
      </c>
      <c r="C34" s="27">
        <v>4.43</v>
      </c>
      <c r="D34" s="27">
        <v>3.6</v>
      </c>
      <c r="E34" s="27">
        <v>3.12</v>
      </c>
      <c r="F34" s="27">
        <v>2.59</v>
      </c>
      <c r="G34" s="27">
        <v>1.99</v>
      </c>
      <c r="H34" s="27">
        <v>1.66</v>
      </c>
      <c r="I34" s="27">
        <v>1.32</v>
      </c>
      <c r="J34" s="27">
        <v>0.94</v>
      </c>
      <c r="K34" s="27">
        <v>0.51</v>
      </c>
    </row>
    <row r="35" spans="1:14" x14ac:dyDescent="0.25">
      <c r="A35" s="28">
        <v>6</v>
      </c>
      <c r="B35" s="27">
        <v>4.74</v>
      </c>
      <c r="C35" s="27">
        <v>4.1100000000000003</v>
      </c>
      <c r="D35" s="27">
        <v>3.37</v>
      </c>
      <c r="E35" s="27">
        <v>2.95</v>
      </c>
      <c r="F35" s="27">
        <v>2.48</v>
      </c>
      <c r="G35" s="27">
        <v>1.93</v>
      </c>
      <c r="H35" s="27">
        <v>1.63</v>
      </c>
      <c r="I35" s="27">
        <v>1.3</v>
      </c>
      <c r="J35" s="27">
        <v>0.93</v>
      </c>
      <c r="K35" s="27">
        <v>0.51</v>
      </c>
    </row>
    <row r="36" spans="1:14" x14ac:dyDescent="0.25">
      <c r="A36" s="28">
        <v>5</v>
      </c>
      <c r="B36" s="27">
        <v>4.33</v>
      </c>
      <c r="C36" s="27">
        <v>3.77</v>
      </c>
      <c r="D36" s="27">
        <v>3.13</v>
      </c>
      <c r="E36" s="27">
        <v>2.76</v>
      </c>
      <c r="F36" s="27">
        <v>2.34</v>
      </c>
      <c r="G36" s="27">
        <v>1.85</v>
      </c>
      <c r="H36" s="27">
        <v>1.58</v>
      </c>
      <c r="I36" s="27">
        <v>1.27</v>
      </c>
      <c r="J36" s="27">
        <v>0.92</v>
      </c>
      <c r="K36" s="27">
        <v>0.51</v>
      </c>
    </row>
    <row r="37" spans="1:14" x14ac:dyDescent="0.25">
      <c r="A37" s="28">
        <v>4</v>
      </c>
      <c r="B37" s="27">
        <v>3.93</v>
      </c>
      <c r="C37" s="27">
        <v>3.44</v>
      </c>
      <c r="D37" s="27">
        <v>2.88</v>
      </c>
      <c r="E37" s="27">
        <v>2.5499999999999998</v>
      </c>
      <c r="F37" s="27">
        <v>2.1800000000000002</v>
      </c>
      <c r="G37" s="27">
        <v>1.76</v>
      </c>
      <c r="H37" s="27">
        <v>1.51</v>
      </c>
      <c r="I37" s="27">
        <v>1.23</v>
      </c>
      <c r="J37" s="27">
        <v>0.9</v>
      </c>
      <c r="K37" s="27">
        <v>0.5</v>
      </c>
    </row>
    <row r="38" spans="1:14" x14ac:dyDescent="0.25">
      <c r="A38" s="28">
        <v>3.2</v>
      </c>
      <c r="B38" s="27">
        <v>3.55</v>
      </c>
      <c r="C38" s="27">
        <v>3.12</v>
      </c>
      <c r="D38" s="27">
        <v>2.63</v>
      </c>
      <c r="E38" s="27">
        <v>2.34</v>
      </c>
      <c r="F38" s="27">
        <v>2.02</v>
      </c>
      <c r="G38" s="27">
        <v>1.64</v>
      </c>
      <c r="H38" s="27">
        <v>1.42</v>
      </c>
      <c r="I38" s="27">
        <v>1.17</v>
      </c>
      <c r="J38" s="27">
        <v>0.88</v>
      </c>
      <c r="K38" s="27">
        <v>0.49</v>
      </c>
    </row>
    <row r="39" spans="1:14" x14ac:dyDescent="0.25">
      <c r="A39" s="28">
        <v>2.5</v>
      </c>
      <c r="B39" s="27">
        <v>3.2</v>
      </c>
      <c r="C39" s="27">
        <v>2.82</v>
      </c>
      <c r="D39" s="27">
        <v>2.38</v>
      </c>
      <c r="E39" s="27">
        <v>2.13</v>
      </c>
      <c r="F39" s="27">
        <v>1.85</v>
      </c>
      <c r="G39" s="27">
        <v>1.52</v>
      </c>
      <c r="H39" s="27">
        <v>1.33</v>
      </c>
      <c r="I39" s="27">
        <v>1.1000000000000001</v>
      </c>
      <c r="J39" s="27">
        <v>0.84</v>
      </c>
      <c r="K39" s="27">
        <v>0.48</v>
      </c>
    </row>
    <row r="40" spans="1:14" x14ac:dyDescent="0.25">
      <c r="A40" s="28">
        <v>2</v>
      </c>
      <c r="B40" s="27">
        <v>2.87</v>
      </c>
      <c r="C40" s="27">
        <v>2.54</v>
      </c>
      <c r="D40" s="27">
        <v>2.15</v>
      </c>
      <c r="E40" s="27">
        <v>1.93</v>
      </c>
      <c r="F40" s="27">
        <v>1.68</v>
      </c>
      <c r="G40" s="27">
        <v>1.39</v>
      </c>
      <c r="H40" s="27">
        <v>1.22</v>
      </c>
      <c r="I40" s="27">
        <v>1.02</v>
      </c>
      <c r="J40" s="27">
        <v>0.79</v>
      </c>
      <c r="K40" s="27">
        <v>0.46</v>
      </c>
    </row>
    <row r="41" spans="1:14" x14ac:dyDescent="0.25">
      <c r="A41" s="28">
        <v>1.6</v>
      </c>
      <c r="B41" s="27">
        <v>2.57</v>
      </c>
      <c r="C41" s="27">
        <v>2.2799999999999998</v>
      </c>
      <c r="D41" s="27">
        <v>1.94</v>
      </c>
      <c r="E41" s="27">
        <v>1.74</v>
      </c>
      <c r="F41" s="27">
        <v>1.52</v>
      </c>
      <c r="G41" s="27">
        <v>1.26</v>
      </c>
      <c r="H41" s="27">
        <v>1.1100000000000001</v>
      </c>
      <c r="I41" s="27">
        <v>0.94</v>
      </c>
      <c r="J41" s="27">
        <v>0.73</v>
      </c>
      <c r="K41" s="27">
        <v>0.44</v>
      </c>
    </row>
    <row r="42" spans="1:14" x14ac:dyDescent="0.25">
      <c r="A42" s="28">
        <v>1.3</v>
      </c>
      <c r="B42" s="27">
        <v>2.2999999999999998</v>
      </c>
      <c r="C42" s="27">
        <v>2.04</v>
      </c>
      <c r="D42" s="27">
        <v>1.73</v>
      </c>
      <c r="E42" s="27">
        <v>1.56</v>
      </c>
      <c r="F42" s="27">
        <v>1.37</v>
      </c>
      <c r="G42" s="27">
        <v>1.1399999999999999</v>
      </c>
      <c r="H42" s="27">
        <v>1</v>
      </c>
      <c r="I42" s="27">
        <v>0.8</v>
      </c>
      <c r="J42" s="27">
        <v>0.66</v>
      </c>
      <c r="K42" s="27">
        <v>0.4</v>
      </c>
    </row>
    <row r="43" spans="1:14" x14ac:dyDescent="0.25">
      <c r="A43" s="28">
        <v>1</v>
      </c>
      <c r="B43" s="27">
        <v>2.1</v>
      </c>
      <c r="C43" s="27">
        <v>1.8</v>
      </c>
      <c r="D43" s="27">
        <v>1.6</v>
      </c>
      <c r="E43" s="27">
        <v>1.4</v>
      </c>
      <c r="F43" s="27">
        <v>1.2</v>
      </c>
      <c r="G43" s="27">
        <v>1</v>
      </c>
      <c r="H43" s="27">
        <v>0.9</v>
      </c>
      <c r="I43" s="27">
        <v>0.8</v>
      </c>
      <c r="J43" s="27">
        <v>0.6</v>
      </c>
      <c r="K43" s="27">
        <v>0.4</v>
      </c>
    </row>
    <row r="47" spans="1:14" x14ac:dyDescent="0.25">
      <c r="A47" t="s">
        <v>39</v>
      </c>
    </row>
    <row r="48" spans="1:14" x14ac:dyDescent="0.25">
      <c r="A48" s="16" t="s">
        <v>36</v>
      </c>
      <c r="B48" s="16">
        <v>1</v>
      </c>
      <c r="C48" s="16">
        <v>0.8</v>
      </c>
      <c r="D48" s="16">
        <v>0.6</v>
      </c>
      <c r="E48" s="16">
        <v>0.5</v>
      </c>
      <c r="F48" s="16">
        <v>0.4</v>
      </c>
      <c r="G48" s="16">
        <v>0.3</v>
      </c>
      <c r="H48" s="16">
        <v>0.25</v>
      </c>
      <c r="I48" s="16">
        <v>0.2</v>
      </c>
      <c r="J48" s="16">
        <v>0.15</v>
      </c>
      <c r="K48" s="16">
        <v>0.125</v>
      </c>
      <c r="L48" s="16">
        <v>0.1</v>
      </c>
      <c r="M48" s="16">
        <v>7.4999999999999997E-2</v>
      </c>
      <c r="N48" s="16">
        <v>0.05</v>
      </c>
    </row>
    <row r="49" spans="1:14" x14ac:dyDescent="0.25">
      <c r="A49" s="28">
        <v>40</v>
      </c>
      <c r="B49" s="27">
        <v>13.1</v>
      </c>
      <c r="C49" s="27">
        <v>10.8</v>
      </c>
      <c r="D49" s="27">
        <v>8.34</v>
      </c>
      <c r="E49" s="27">
        <v>7.01</v>
      </c>
      <c r="F49" s="27">
        <v>5.64</v>
      </c>
      <c r="G49" s="27">
        <v>4.24</v>
      </c>
      <c r="H49" s="27">
        <v>3.53</v>
      </c>
      <c r="I49" s="27">
        <v>2.81</v>
      </c>
      <c r="J49" s="27">
        <v>2.08</v>
      </c>
      <c r="K49" s="27">
        <v>1.71</v>
      </c>
      <c r="L49" s="27">
        <v>1.34</v>
      </c>
      <c r="M49" s="27">
        <v>0.95</v>
      </c>
      <c r="N49" s="27">
        <v>0.51</v>
      </c>
    </row>
    <row r="50" spans="1:14" x14ac:dyDescent="0.25">
      <c r="A50" s="28">
        <v>32</v>
      </c>
      <c r="B50" s="27">
        <v>12.5</v>
      </c>
      <c r="C50" s="27">
        <v>10.5</v>
      </c>
      <c r="D50" s="27">
        <v>8.18</v>
      </c>
      <c r="E50" s="27">
        <v>6.92</v>
      </c>
      <c r="F50" s="27">
        <v>5.6</v>
      </c>
      <c r="G50" s="27">
        <v>4.22</v>
      </c>
      <c r="H50" s="27">
        <v>3.52</v>
      </c>
      <c r="I50" s="27">
        <v>2.81</v>
      </c>
      <c r="J50" s="27">
        <v>2.08</v>
      </c>
      <c r="K50" s="27">
        <v>1.71</v>
      </c>
      <c r="L50" s="27">
        <v>1.34</v>
      </c>
      <c r="M50" s="27">
        <v>0.95</v>
      </c>
      <c r="N50" s="27">
        <v>0.51</v>
      </c>
    </row>
    <row r="51" spans="1:14" x14ac:dyDescent="0.25">
      <c r="A51" s="28">
        <v>25</v>
      </c>
      <c r="B51" s="27">
        <v>11.9</v>
      </c>
      <c r="C51" s="27">
        <v>10</v>
      </c>
      <c r="D51" s="27">
        <v>7.94</v>
      </c>
      <c r="E51" s="27">
        <v>6.77</v>
      </c>
      <c r="F51" s="27">
        <v>5.52</v>
      </c>
      <c r="G51" s="27">
        <v>4.2</v>
      </c>
      <c r="H51" s="27">
        <v>3.51</v>
      </c>
      <c r="I51" s="27">
        <v>2.8</v>
      </c>
      <c r="J51" s="27">
        <v>2.08</v>
      </c>
      <c r="K51" s="27">
        <v>1.71</v>
      </c>
      <c r="L51" s="27">
        <v>1.34</v>
      </c>
      <c r="M51" s="27">
        <v>0.95</v>
      </c>
      <c r="N51" s="27">
        <v>0.51</v>
      </c>
    </row>
    <row r="52" spans="1:14" x14ac:dyDescent="0.25">
      <c r="A52" s="28">
        <v>20</v>
      </c>
      <c r="B52" s="27">
        <v>11.1</v>
      </c>
      <c r="C52" s="27">
        <v>9.51</v>
      </c>
      <c r="D52" s="27">
        <v>7.63</v>
      </c>
      <c r="E52" s="27">
        <v>6.56</v>
      </c>
      <c r="F52" s="27">
        <v>5.41</v>
      </c>
      <c r="G52" s="27">
        <v>4.1500000000000004</v>
      </c>
      <c r="H52" s="27">
        <v>3.48</v>
      </c>
      <c r="I52" s="27">
        <v>2.79</v>
      </c>
      <c r="J52" s="27">
        <v>2.08</v>
      </c>
      <c r="K52" s="27">
        <v>1.71</v>
      </c>
      <c r="L52" s="27">
        <v>1.34</v>
      </c>
      <c r="M52" s="27">
        <v>0.95</v>
      </c>
      <c r="N52" s="27">
        <v>0.51</v>
      </c>
    </row>
    <row r="53" spans="1:14" x14ac:dyDescent="0.25">
      <c r="A53" s="28">
        <v>16</v>
      </c>
      <c r="B53" s="27">
        <v>10.3</v>
      </c>
      <c r="C53" s="27">
        <v>8.89</v>
      </c>
      <c r="D53" s="27">
        <v>7.23</v>
      </c>
      <c r="E53" s="27">
        <v>6.29</v>
      </c>
      <c r="F53" s="27">
        <v>5.24</v>
      </c>
      <c r="G53" s="27">
        <v>4.07</v>
      </c>
      <c r="H53" s="27">
        <v>3.43</v>
      </c>
      <c r="I53" s="27">
        <v>2.77</v>
      </c>
      <c r="J53" s="27">
        <v>2.0699999999999998</v>
      </c>
      <c r="K53" s="27">
        <v>1.71</v>
      </c>
      <c r="L53" s="27">
        <v>1.34</v>
      </c>
      <c r="M53" s="27">
        <v>0.95</v>
      </c>
      <c r="N53" s="27">
        <v>0.51</v>
      </c>
    </row>
    <row r="54" spans="1:14" x14ac:dyDescent="0.25">
      <c r="A54" s="28">
        <v>13</v>
      </c>
      <c r="B54" s="27">
        <v>9.5</v>
      </c>
      <c r="C54" s="27">
        <v>8.24</v>
      </c>
      <c r="D54" s="27">
        <v>6.78</v>
      </c>
      <c r="E54" s="27">
        <v>5.95</v>
      </c>
      <c r="F54" s="27">
        <v>5.01</v>
      </c>
      <c r="G54" s="27">
        <v>3.95</v>
      </c>
      <c r="H54" s="27">
        <v>3.36</v>
      </c>
      <c r="I54" s="27">
        <v>2.73</v>
      </c>
      <c r="J54" s="27">
        <v>2.0499999999999998</v>
      </c>
      <c r="K54" s="27">
        <v>1.7</v>
      </c>
      <c r="L54" s="27">
        <v>1.33</v>
      </c>
      <c r="M54" s="27">
        <v>0.95</v>
      </c>
      <c r="N54" s="27">
        <v>0.51</v>
      </c>
    </row>
    <row r="55" spans="1:14" x14ac:dyDescent="0.25">
      <c r="A55" s="28">
        <v>10</v>
      </c>
      <c r="B55" s="27">
        <v>8.67</v>
      </c>
      <c r="C55" s="27">
        <v>7.57</v>
      </c>
      <c r="D55" s="27">
        <v>6.3</v>
      </c>
      <c r="E55" s="27">
        <v>5.56</v>
      </c>
      <c r="F55" s="27">
        <v>4.74</v>
      </c>
      <c r="G55" s="27">
        <v>3.79</v>
      </c>
      <c r="H55" s="27">
        <v>3.26</v>
      </c>
      <c r="I55" s="27">
        <v>2.67</v>
      </c>
      <c r="J55" s="27">
        <v>2.0299999999999998</v>
      </c>
      <c r="K55" s="27">
        <v>1.69</v>
      </c>
      <c r="L55" s="27">
        <v>1.33</v>
      </c>
      <c r="M55" s="27">
        <v>0.94</v>
      </c>
      <c r="N55" s="27">
        <v>0.51</v>
      </c>
    </row>
    <row r="56" spans="1:14" x14ac:dyDescent="0.25">
      <c r="A56" s="28">
        <v>8</v>
      </c>
      <c r="B56" s="27">
        <v>7.88</v>
      </c>
      <c r="C56" s="27">
        <v>6.91</v>
      </c>
      <c r="D56" s="27">
        <v>5.8</v>
      </c>
      <c r="E56" s="27">
        <v>5.16</v>
      </c>
      <c r="F56" s="27">
        <v>4.43</v>
      </c>
      <c r="G56" s="27">
        <v>3.6</v>
      </c>
      <c r="H56" s="27">
        <v>3.12</v>
      </c>
      <c r="I56" s="27">
        <v>2.59</v>
      </c>
      <c r="J56" s="27">
        <v>1.99</v>
      </c>
      <c r="K56" s="27">
        <v>1.66</v>
      </c>
      <c r="L56" s="27">
        <v>1.32</v>
      </c>
      <c r="M56" s="27">
        <v>0.94</v>
      </c>
      <c r="N56" s="27">
        <v>0.51</v>
      </c>
    </row>
    <row r="57" spans="1:14" x14ac:dyDescent="0.25">
      <c r="A57" s="28">
        <v>6</v>
      </c>
      <c r="B57" s="27">
        <v>7.13</v>
      </c>
      <c r="C57" s="27">
        <v>6.28</v>
      </c>
      <c r="D57" s="27">
        <v>5.3</v>
      </c>
      <c r="E57" s="27">
        <v>4.74</v>
      </c>
      <c r="F57" s="27">
        <v>4.1100000000000003</v>
      </c>
      <c r="G57" s="27">
        <v>3.37</v>
      </c>
      <c r="H57" s="27">
        <v>2.95</v>
      </c>
      <c r="I57" s="27">
        <v>2.48</v>
      </c>
      <c r="J57" s="27">
        <v>1.93</v>
      </c>
      <c r="K57" s="27">
        <v>1.63</v>
      </c>
      <c r="L57" s="27">
        <v>1.3</v>
      </c>
      <c r="M57" s="27">
        <v>0.93</v>
      </c>
      <c r="N57" s="27">
        <v>0.51</v>
      </c>
    </row>
    <row r="58" spans="1:14" x14ac:dyDescent="0.25">
      <c r="A58" s="28">
        <v>5</v>
      </c>
      <c r="B58" s="27">
        <v>6.43</v>
      </c>
      <c r="C58" s="27">
        <v>5.68</v>
      </c>
      <c r="D58" s="27">
        <v>4.83</v>
      </c>
      <c r="E58" s="27">
        <v>4.33</v>
      </c>
      <c r="F58" s="27">
        <v>3.77</v>
      </c>
      <c r="G58" s="27">
        <v>3.13</v>
      </c>
      <c r="H58" s="27">
        <v>2.76</v>
      </c>
      <c r="I58" s="27">
        <v>2.34</v>
      </c>
      <c r="J58" s="27">
        <v>1.85</v>
      </c>
      <c r="K58" s="27">
        <v>1.58</v>
      </c>
      <c r="L58" s="27">
        <v>1.27</v>
      </c>
      <c r="M58" s="27">
        <v>0.92</v>
      </c>
      <c r="N58" s="27">
        <v>0.51</v>
      </c>
    </row>
    <row r="59" spans="1:14" x14ac:dyDescent="0.25">
      <c r="A59" s="28">
        <v>4</v>
      </c>
      <c r="B59" s="27">
        <v>5.78</v>
      </c>
      <c r="C59" s="27">
        <v>5.12</v>
      </c>
      <c r="D59" s="27">
        <v>4.3600000000000003</v>
      </c>
      <c r="E59" s="27">
        <v>3.93</v>
      </c>
      <c r="F59" s="27">
        <v>3.44</v>
      </c>
      <c r="G59" s="27">
        <v>2.88</v>
      </c>
      <c r="H59" s="27">
        <v>2.5499999999999998</v>
      </c>
      <c r="I59" s="27">
        <v>2.1800000000000002</v>
      </c>
      <c r="J59" s="27">
        <v>1.76</v>
      </c>
      <c r="K59" s="27">
        <v>1.51</v>
      </c>
      <c r="L59" s="27">
        <v>1.23</v>
      </c>
      <c r="M59" s="27">
        <v>0.9</v>
      </c>
      <c r="N59" s="27">
        <v>0.5</v>
      </c>
    </row>
    <row r="60" spans="1:14" x14ac:dyDescent="0.25">
      <c r="A60" s="28">
        <v>3.2</v>
      </c>
      <c r="B60" s="27">
        <v>5.19</v>
      </c>
      <c r="C60" s="27">
        <v>4.6100000000000003</v>
      </c>
      <c r="D60" s="27">
        <v>3.93</v>
      </c>
      <c r="E60" s="27">
        <v>3.55</v>
      </c>
      <c r="F60" s="27">
        <v>3.12</v>
      </c>
      <c r="G60" s="27">
        <v>2.63</v>
      </c>
      <c r="H60" s="27">
        <v>2.34</v>
      </c>
      <c r="I60" s="27">
        <v>2.02</v>
      </c>
      <c r="J60" s="27">
        <v>1.64</v>
      </c>
      <c r="K60" s="27">
        <v>1.42</v>
      </c>
      <c r="L60" s="27">
        <v>1.17</v>
      </c>
      <c r="M60" s="27">
        <v>0.88</v>
      </c>
      <c r="N60" s="27">
        <v>0.49</v>
      </c>
    </row>
    <row r="61" spans="1:14" x14ac:dyDescent="0.25">
      <c r="A61" s="28">
        <v>2.5</v>
      </c>
      <c r="B61" s="27">
        <v>4.6500000000000004</v>
      </c>
      <c r="C61" s="27">
        <v>4.13</v>
      </c>
      <c r="D61" s="27">
        <v>3.54</v>
      </c>
      <c r="E61" s="27">
        <v>3.2</v>
      </c>
      <c r="F61" s="27">
        <v>2.82</v>
      </c>
      <c r="G61" s="27">
        <v>2.38</v>
      </c>
      <c r="H61" s="27">
        <v>2.13</v>
      </c>
      <c r="I61" s="27">
        <v>1.85</v>
      </c>
      <c r="J61" s="27">
        <v>1.52</v>
      </c>
      <c r="K61" s="27">
        <v>1.33</v>
      </c>
      <c r="L61" s="27">
        <v>1.1000000000000001</v>
      </c>
      <c r="M61" s="27">
        <v>0.84</v>
      </c>
      <c r="N61" s="27">
        <v>0.48</v>
      </c>
    </row>
    <row r="62" spans="1:14" x14ac:dyDescent="0.25">
      <c r="A62" s="28">
        <v>2</v>
      </c>
      <c r="B62" s="27">
        <v>4.16</v>
      </c>
      <c r="C62" s="27">
        <v>3.7</v>
      </c>
      <c r="D62" s="27">
        <v>3.17</v>
      </c>
      <c r="E62" s="27">
        <v>2.87</v>
      </c>
      <c r="F62" s="27">
        <v>2.54</v>
      </c>
      <c r="G62" s="27">
        <v>2.15</v>
      </c>
      <c r="H62" s="27">
        <v>1.93</v>
      </c>
      <c r="I62" s="27">
        <v>1.68</v>
      </c>
      <c r="J62" s="27">
        <v>1.39</v>
      </c>
      <c r="K62" s="27">
        <v>1.22</v>
      </c>
      <c r="L62" s="27">
        <v>1.02</v>
      </c>
      <c r="M62" s="27">
        <v>0.79</v>
      </c>
      <c r="N62" s="27">
        <v>0.46</v>
      </c>
    </row>
    <row r="63" spans="1:14" x14ac:dyDescent="0.25">
      <c r="A63" s="28">
        <v>1.6</v>
      </c>
      <c r="B63" s="27">
        <v>3.72</v>
      </c>
      <c r="C63" s="27">
        <v>3.31</v>
      </c>
      <c r="D63" s="27">
        <v>2.84</v>
      </c>
      <c r="E63" s="27">
        <v>2.57</v>
      </c>
      <c r="F63" s="27">
        <v>2.2799999999999998</v>
      </c>
      <c r="G63" s="27">
        <v>1.94</v>
      </c>
      <c r="H63" s="27">
        <v>1.74</v>
      </c>
      <c r="I63" s="27">
        <v>1.52</v>
      </c>
      <c r="J63" s="27">
        <v>1.26</v>
      </c>
      <c r="K63" s="27">
        <v>1.1100000000000001</v>
      </c>
      <c r="L63" s="27">
        <v>0.94</v>
      </c>
      <c r="M63" s="27">
        <v>0.73</v>
      </c>
      <c r="N63" s="27">
        <v>0.44</v>
      </c>
    </row>
    <row r="64" spans="1:14" x14ac:dyDescent="0.25">
      <c r="A64" s="28">
        <v>1.3</v>
      </c>
      <c r="B64" s="27">
        <v>3.32</v>
      </c>
      <c r="C64" s="27">
        <v>2.95</v>
      </c>
      <c r="D64" s="27">
        <v>2.54</v>
      </c>
      <c r="E64" s="27">
        <v>2.2999999999999998</v>
      </c>
      <c r="F64" s="27">
        <v>2.04</v>
      </c>
      <c r="G64" s="27">
        <v>1.73</v>
      </c>
      <c r="H64" s="27">
        <v>1.56</v>
      </c>
      <c r="I64" s="27">
        <v>1.37</v>
      </c>
      <c r="J64" s="27">
        <v>1.1399999999999999</v>
      </c>
      <c r="K64" s="27">
        <v>1</v>
      </c>
      <c r="L64" s="27">
        <v>0.8</v>
      </c>
      <c r="M64" s="27">
        <v>0.66</v>
      </c>
      <c r="N64" s="27">
        <v>0.4</v>
      </c>
    </row>
    <row r="65" spans="1:14" x14ac:dyDescent="0.25">
      <c r="A65" s="28">
        <v>1</v>
      </c>
      <c r="B65" s="27">
        <v>3</v>
      </c>
      <c r="C65" s="27">
        <v>2.6</v>
      </c>
      <c r="D65" s="27">
        <v>2.2999999999999998</v>
      </c>
      <c r="E65" s="27">
        <v>2.1</v>
      </c>
      <c r="F65" s="27">
        <v>1.8</v>
      </c>
      <c r="G65" s="27">
        <v>1.6</v>
      </c>
      <c r="H65" s="27">
        <v>1.4</v>
      </c>
      <c r="I65" s="27">
        <v>1.2</v>
      </c>
      <c r="J65" s="27">
        <v>1</v>
      </c>
      <c r="K65" s="27">
        <v>0.9</v>
      </c>
      <c r="L65" s="27">
        <v>0.8</v>
      </c>
      <c r="M65" s="27">
        <v>0.6</v>
      </c>
      <c r="N65" s="27">
        <v>0.4</v>
      </c>
    </row>
    <row r="68" spans="1:14" x14ac:dyDescent="0.25">
      <c r="A68" t="s">
        <v>42</v>
      </c>
    </row>
    <row r="69" spans="1:14" x14ac:dyDescent="0.25">
      <c r="A69" s="16" t="s">
        <v>43</v>
      </c>
      <c r="B69" s="17"/>
      <c r="C69" s="18">
        <v>1</v>
      </c>
      <c r="D69" s="18">
        <v>0.9</v>
      </c>
      <c r="E69" s="18">
        <v>0.8</v>
      </c>
      <c r="F69" s="18">
        <v>0.7</v>
      </c>
      <c r="G69" s="18">
        <v>0.6</v>
      </c>
      <c r="H69" s="18">
        <v>0.5</v>
      </c>
      <c r="I69" s="18">
        <v>0.4</v>
      </c>
      <c r="J69" s="18">
        <v>0.3</v>
      </c>
      <c r="K69" s="19">
        <v>0.2</v>
      </c>
    </row>
    <row r="70" spans="1:14" x14ac:dyDescent="0.25">
      <c r="A70" s="20">
        <v>40</v>
      </c>
      <c r="B70" s="21"/>
      <c r="C70" s="22">
        <f>C5/2</f>
        <v>2.82</v>
      </c>
      <c r="D70" s="22">
        <f t="shared" ref="D70:K70" si="0">D5/2</f>
        <v>2.12</v>
      </c>
      <c r="E70" s="22">
        <f t="shared" si="0"/>
        <v>1.7649999999999999</v>
      </c>
      <c r="F70" s="22">
        <f t="shared" si="0"/>
        <v>1.405</v>
      </c>
      <c r="G70" s="22">
        <f t="shared" si="0"/>
        <v>1.04</v>
      </c>
      <c r="H70" s="22">
        <f t="shared" si="0"/>
        <v>0.85499999999999998</v>
      </c>
      <c r="I70" s="22">
        <f t="shared" si="0"/>
        <v>0.67</v>
      </c>
      <c r="J70" s="22">
        <f t="shared" si="0"/>
        <v>0.47499999999999998</v>
      </c>
      <c r="K70" s="22">
        <f t="shared" si="0"/>
        <v>0.255</v>
      </c>
    </row>
    <row r="71" spans="1:14" x14ac:dyDescent="0.25">
      <c r="A71" s="20">
        <v>32</v>
      </c>
      <c r="B71" s="21"/>
      <c r="C71" s="22">
        <f t="shared" ref="C71:K71" si="1">C6/2</f>
        <v>2.8</v>
      </c>
      <c r="D71" s="22">
        <f t="shared" si="1"/>
        <v>2.11</v>
      </c>
      <c r="E71" s="22">
        <f t="shared" si="1"/>
        <v>1.76</v>
      </c>
      <c r="F71" s="22">
        <f t="shared" si="1"/>
        <v>1.405</v>
      </c>
      <c r="G71" s="22">
        <f t="shared" si="1"/>
        <v>1.04</v>
      </c>
      <c r="H71" s="22">
        <f t="shared" si="1"/>
        <v>0.85499999999999998</v>
      </c>
      <c r="I71" s="22">
        <f t="shared" si="1"/>
        <v>0.67</v>
      </c>
      <c r="J71" s="22">
        <f t="shared" si="1"/>
        <v>0.47499999999999998</v>
      </c>
      <c r="K71" s="22">
        <f t="shared" si="1"/>
        <v>0.255</v>
      </c>
    </row>
    <row r="72" spans="1:14" x14ac:dyDescent="0.25">
      <c r="A72" s="20">
        <v>25</v>
      </c>
      <c r="B72" s="21"/>
      <c r="C72" s="22">
        <f t="shared" ref="C72:K72" si="2">C7/2</f>
        <v>2.76</v>
      </c>
      <c r="D72" s="22">
        <f t="shared" si="2"/>
        <v>2.1</v>
      </c>
      <c r="E72" s="22">
        <f t="shared" si="2"/>
        <v>1.7549999999999999</v>
      </c>
      <c r="F72" s="22">
        <f t="shared" si="2"/>
        <v>1.4</v>
      </c>
      <c r="G72" s="22">
        <f t="shared" si="2"/>
        <v>1.04</v>
      </c>
      <c r="H72" s="22">
        <f t="shared" si="2"/>
        <v>0.85499999999999998</v>
      </c>
      <c r="I72" s="22">
        <f t="shared" si="2"/>
        <v>0.67</v>
      </c>
      <c r="J72" s="22">
        <f t="shared" si="2"/>
        <v>0.47499999999999998</v>
      </c>
      <c r="K72" s="22">
        <f t="shared" si="2"/>
        <v>0.255</v>
      </c>
    </row>
    <row r="73" spans="1:14" x14ac:dyDescent="0.25">
      <c r="A73" s="20">
        <v>20</v>
      </c>
      <c r="B73" s="21"/>
      <c r="C73" s="22">
        <f t="shared" ref="C73:K73" si="3">C8/2</f>
        <v>2.7050000000000001</v>
      </c>
      <c r="D73" s="22">
        <f t="shared" si="3"/>
        <v>2.0750000000000002</v>
      </c>
      <c r="E73" s="22">
        <f t="shared" si="3"/>
        <v>1.74</v>
      </c>
      <c r="F73" s="22">
        <f t="shared" si="3"/>
        <v>1.395</v>
      </c>
      <c r="G73" s="22">
        <f t="shared" si="3"/>
        <v>1.04</v>
      </c>
      <c r="H73" s="22">
        <f t="shared" si="3"/>
        <v>0.85499999999999998</v>
      </c>
      <c r="I73" s="22">
        <f t="shared" si="3"/>
        <v>0.67</v>
      </c>
      <c r="J73" s="22">
        <f t="shared" si="3"/>
        <v>0.47499999999999998</v>
      </c>
      <c r="K73" s="22">
        <f t="shared" si="3"/>
        <v>0.255</v>
      </c>
    </row>
    <row r="74" spans="1:14" x14ac:dyDescent="0.25">
      <c r="A74" s="20">
        <v>16</v>
      </c>
      <c r="B74" s="21"/>
      <c r="C74" s="22">
        <f t="shared" ref="C74:K74" si="4">C9/2</f>
        <v>2.62</v>
      </c>
      <c r="D74" s="22">
        <f t="shared" si="4"/>
        <v>2.0350000000000001</v>
      </c>
      <c r="E74" s="22">
        <f t="shared" si="4"/>
        <v>1.7150000000000001</v>
      </c>
      <c r="F74" s="22">
        <f t="shared" si="4"/>
        <v>1.385</v>
      </c>
      <c r="G74" s="22">
        <f t="shared" si="4"/>
        <v>1.0349999999999999</v>
      </c>
      <c r="H74" s="22">
        <f t="shared" si="4"/>
        <v>0.85499999999999998</v>
      </c>
      <c r="I74" s="22">
        <f t="shared" si="4"/>
        <v>0.67</v>
      </c>
      <c r="J74" s="22">
        <f t="shared" si="4"/>
        <v>0.47499999999999998</v>
      </c>
      <c r="K74" s="22">
        <f t="shared" si="4"/>
        <v>0.255</v>
      </c>
    </row>
    <row r="75" spans="1:14" x14ac:dyDescent="0.25">
      <c r="A75" s="20">
        <v>13</v>
      </c>
      <c r="B75" s="21"/>
      <c r="C75" s="22">
        <f t="shared" ref="C75:K75" si="5">C10/2</f>
        <v>2.5049999999999999</v>
      </c>
      <c r="D75" s="22">
        <f t="shared" si="5"/>
        <v>1.9750000000000001</v>
      </c>
      <c r="E75" s="22">
        <f t="shared" si="5"/>
        <v>1.68</v>
      </c>
      <c r="F75" s="22">
        <f t="shared" si="5"/>
        <v>1.365</v>
      </c>
      <c r="G75" s="22">
        <f t="shared" si="5"/>
        <v>1.0249999999999999</v>
      </c>
      <c r="H75" s="22">
        <f t="shared" si="5"/>
        <v>0.85</v>
      </c>
      <c r="I75" s="22">
        <f t="shared" si="5"/>
        <v>0.66500000000000004</v>
      </c>
      <c r="J75" s="22">
        <f t="shared" si="5"/>
        <v>0.47499999999999998</v>
      </c>
      <c r="K75" s="22">
        <f t="shared" si="5"/>
        <v>0.255</v>
      </c>
    </row>
    <row r="76" spans="1:14" x14ac:dyDescent="0.25">
      <c r="A76" s="20">
        <v>10</v>
      </c>
      <c r="B76" s="21"/>
      <c r="C76" s="22">
        <f t="shared" ref="C76:K76" si="6">C11/2</f>
        <v>2.37</v>
      </c>
      <c r="D76" s="22">
        <f t="shared" si="6"/>
        <v>1.895</v>
      </c>
      <c r="E76" s="22">
        <f t="shared" si="6"/>
        <v>1.63</v>
      </c>
      <c r="F76" s="22">
        <f t="shared" si="6"/>
        <v>1.335</v>
      </c>
      <c r="G76" s="22">
        <f t="shared" si="6"/>
        <v>1.0149999999999999</v>
      </c>
      <c r="H76" s="22">
        <f t="shared" si="6"/>
        <v>0.84499999999999997</v>
      </c>
      <c r="I76" s="22">
        <f t="shared" si="6"/>
        <v>0.66500000000000004</v>
      </c>
      <c r="J76" s="22">
        <f t="shared" si="6"/>
        <v>0.47</v>
      </c>
      <c r="K76" s="22">
        <f t="shared" si="6"/>
        <v>0.255</v>
      </c>
    </row>
    <row r="77" spans="1:14" x14ac:dyDescent="0.25">
      <c r="A77" s="20">
        <v>8</v>
      </c>
      <c r="B77" s="21"/>
      <c r="C77" s="22">
        <f t="shared" ref="C77:K77" si="7">C12/2</f>
        <v>2.2149999999999999</v>
      </c>
      <c r="D77" s="22">
        <f t="shared" si="7"/>
        <v>1.8</v>
      </c>
      <c r="E77" s="22">
        <f t="shared" si="7"/>
        <v>1.56</v>
      </c>
      <c r="F77" s="22">
        <f t="shared" si="7"/>
        <v>1.2949999999999999</v>
      </c>
      <c r="G77" s="22">
        <f t="shared" si="7"/>
        <v>0.995</v>
      </c>
      <c r="H77" s="22">
        <f t="shared" si="7"/>
        <v>0.83</v>
      </c>
      <c r="I77" s="22">
        <f t="shared" si="7"/>
        <v>0.66</v>
      </c>
      <c r="J77" s="22">
        <f t="shared" si="7"/>
        <v>0.47</v>
      </c>
      <c r="K77" s="22">
        <f t="shared" si="7"/>
        <v>0.255</v>
      </c>
    </row>
    <row r="78" spans="1:14" x14ac:dyDescent="0.25">
      <c r="A78" s="20">
        <v>6</v>
      </c>
      <c r="B78" s="21"/>
      <c r="C78" s="22">
        <f t="shared" ref="C78:K78" si="8">C13/2</f>
        <v>2.0550000000000002</v>
      </c>
      <c r="D78" s="22">
        <f t="shared" si="8"/>
        <v>1.6850000000000001</v>
      </c>
      <c r="E78" s="22">
        <f t="shared" si="8"/>
        <v>1.4750000000000001</v>
      </c>
      <c r="F78" s="22">
        <f t="shared" si="8"/>
        <v>1.24</v>
      </c>
      <c r="G78" s="22">
        <f t="shared" si="8"/>
        <v>0.96499999999999997</v>
      </c>
      <c r="H78" s="22">
        <f t="shared" si="8"/>
        <v>0.81499999999999995</v>
      </c>
      <c r="I78" s="22">
        <f t="shared" si="8"/>
        <v>0.65</v>
      </c>
      <c r="J78" s="22">
        <f t="shared" si="8"/>
        <v>0.46500000000000002</v>
      </c>
      <c r="K78" s="22">
        <f t="shared" si="8"/>
        <v>0.255</v>
      </c>
    </row>
    <row r="79" spans="1:14" x14ac:dyDescent="0.25">
      <c r="A79" s="20">
        <v>5</v>
      </c>
      <c r="B79" s="21"/>
      <c r="C79" s="22">
        <f t="shared" ref="C79:K79" si="9">C14/2</f>
        <v>1.885</v>
      </c>
      <c r="D79" s="22">
        <f t="shared" si="9"/>
        <v>1.5649999999999999</v>
      </c>
      <c r="E79" s="22">
        <f t="shared" si="9"/>
        <v>1.38</v>
      </c>
      <c r="F79" s="22">
        <f t="shared" si="9"/>
        <v>1.17</v>
      </c>
      <c r="G79" s="22">
        <f t="shared" si="9"/>
        <v>0.92500000000000004</v>
      </c>
      <c r="H79" s="22">
        <f t="shared" si="9"/>
        <v>0.79</v>
      </c>
      <c r="I79" s="22">
        <f t="shared" si="9"/>
        <v>0.63500000000000001</v>
      </c>
      <c r="J79" s="22">
        <f t="shared" si="9"/>
        <v>0.46</v>
      </c>
      <c r="K79" s="22">
        <f t="shared" si="9"/>
        <v>0.255</v>
      </c>
    </row>
    <row r="80" spans="1:14" x14ac:dyDescent="0.25">
      <c r="A80" s="20">
        <v>4</v>
      </c>
      <c r="B80" s="21"/>
      <c r="C80" s="22">
        <f t="shared" ref="C80:K80" si="10">C15/2</f>
        <v>1.72</v>
      </c>
      <c r="D80" s="22">
        <f t="shared" si="10"/>
        <v>1.44</v>
      </c>
      <c r="E80" s="22">
        <f t="shared" si="10"/>
        <v>1.2749999999999999</v>
      </c>
      <c r="F80" s="22">
        <f t="shared" si="10"/>
        <v>1.0900000000000001</v>
      </c>
      <c r="G80" s="22">
        <f t="shared" si="10"/>
        <v>0.88</v>
      </c>
      <c r="H80" s="22">
        <f t="shared" si="10"/>
        <v>0.755</v>
      </c>
      <c r="I80" s="22">
        <f t="shared" si="10"/>
        <v>0.61499999999999999</v>
      </c>
      <c r="J80" s="22">
        <f t="shared" si="10"/>
        <v>0.45</v>
      </c>
      <c r="K80" s="22">
        <f t="shared" si="10"/>
        <v>0.25</v>
      </c>
    </row>
    <row r="81" spans="1:11" x14ac:dyDescent="0.25">
      <c r="A81" s="20">
        <v>3.2</v>
      </c>
      <c r="B81" s="21"/>
      <c r="C81" s="22">
        <f t="shared" ref="C81:K81" si="11">C16/2</f>
        <v>1.56</v>
      </c>
      <c r="D81" s="22">
        <f t="shared" si="11"/>
        <v>1.3149999999999999</v>
      </c>
      <c r="E81" s="22">
        <f t="shared" si="11"/>
        <v>1.17</v>
      </c>
      <c r="F81" s="22">
        <f t="shared" si="11"/>
        <v>1.01</v>
      </c>
      <c r="G81" s="22">
        <f t="shared" si="11"/>
        <v>0.82</v>
      </c>
      <c r="H81" s="22">
        <f t="shared" si="11"/>
        <v>0.71</v>
      </c>
      <c r="I81" s="22">
        <f t="shared" si="11"/>
        <v>0.58499999999999996</v>
      </c>
      <c r="J81" s="22">
        <f t="shared" si="11"/>
        <v>0.44</v>
      </c>
      <c r="K81" s="22">
        <f t="shared" si="11"/>
        <v>0.245</v>
      </c>
    </row>
    <row r="82" spans="1:11" x14ac:dyDescent="0.25">
      <c r="A82" s="20">
        <v>2.5</v>
      </c>
      <c r="B82" s="21"/>
      <c r="C82" s="22">
        <f t="shared" ref="C82:K82" si="12">C17/2</f>
        <v>1.41</v>
      </c>
      <c r="D82" s="22">
        <f t="shared" si="12"/>
        <v>1.19</v>
      </c>
      <c r="E82" s="22">
        <f t="shared" si="12"/>
        <v>1.0649999999999999</v>
      </c>
      <c r="F82" s="22">
        <f t="shared" si="12"/>
        <v>0.92500000000000004</v>
      </c>
      <c r="G82" s="22">
        <f t="shared" si="12"/>
        <v>0.76</v>
      </c>
      <c r="H82" s="22">
        <f t="shared" si="12"/>
        <v>0.66500000000000004</v>
      </c>
      <c r="I82" s="22">
        <f t="shared" si="12"/>
        <v>0.55000000000000004</v>
      </c>
      <c r="J82" s="22">
        <f t="shared" si="12"/>
        <v>0.42</v>
      </c>
      <c r="K82" s="22">
        <f t="shared" si="12"/>
        <v>0.24</v>
      </c>
    </row>
    <row r="83" spans="1:11" x14ac:dyDescent="0.25">
      <c r="A83" s="20">
        <v>2</v>
      </c>
      <c r="B83" s="21"/>
      <c r="C83" s="22">
        <f t="shared" ref="C83:K83" si="13">C18/2</f>
        <v>1.27</v>
      </c>
      <c r="D83" s="22">
        <f t="shared" si="13"/>
        <v>1.075</v>
      </c>
      <c r="E83" s="22">
        <f t="shared" si="13"/>
        <v>0.96499999999999997</v>
      </c>
      <c r="F83" s="22">
        <f t="shared" si="13"/>
        <v>0.84</v>
      </c>
      <c r="G83" s="22">
        <f t="shared" si="13"/>
        <v>0.69499999999999995</v>
      </c>
      <c r="H83" s="22">
        <f t="shared" si="13"/>
        <v>0.61</v>
      </c>
      <c r="I83" s="22">
        <f t="shared" si="13"/>
        <v>0.51</v>
      </c>
      <c r="J83" s="22">
        <f t="shared" si="13"/>
        <v>0.39500000000000002</v>
      </c>
      <c r="K83" s="22">
        <f t="shared" si="13"/>
        <v>0.23</v>
      </c>
    </row>
    <row r="84" spans="1:11" x14ac:dyDescent="0.25">
      <c r="A84" s="20">
        <v>1.6</v>
      </c>
      <c r="B84" s="21"/>
      <c r="C84" s="22">
        <f t="shared" ref="C84:K84" si="14">C19/2</f>
        <v>1.1399999999999999</v>
      </c>
      <c r="D84" s="22">
        <f t="shared" si="14"/>
        <v>0.97</v>
      </c>
      <c r="E84" s="22">
        <f t="shared" si="14"/>
        <v>0.87</v>
      </c>
      <c r="F84" s="22">
        <f t="shared" si="14"/>
        <v>0.76</v>
      </c>
      <c r="G84" s="22">
        <f t="shared" si="14"/>
        <v>0.63</v>
      </c>
      <c r="H84" s="22">
        <f t="shared" si="14"/>
        <v>0.55500000000000005</v>
      </c>
      <c r="I84" s="22">
        <f t="shared" si="14"/>
        <v>0.47</v>
      </c>
      <c r="J84" s="22">
        <f t="shared" si="14"/>
        <v>0.36499999999999999</v>
      </c>
      <c r="K84" s="22">
        <f t="shared" si="14"/>
        <v>0.22</v>
      </c>
    </row>
    <row r="85" spans="1:11" x14ac:dyDescent="0.25">
      <c r="A85" s="20">
        <v>1.3</v>
      </c>
      <c r="B85" s="21"/>
      <c r="C85" s="22">
        <f t="shared" ref="C85:K85" si="15">C20/2</f>
        <v>1.02</v>
      </c>
      <c r="D85" s="22">
        <f t="shared" si="15"/>
        <v>0.86499999999999999</v>
      </c>
      <c r="E85" s="22">
        <f t="shared" si="15"/>
        <v>0.78</v>
      </c>
      <c r="F85" s="22">
        <f t="shared" si="15"/>
        <v>0.68500000000000005</v>
      </c>
      <c r="G85" s="22">
        <f t="shared" si="15"/>
        <v>0.56999999999999995</v>
      </c>
      <c r="H85" s="22">
        <f t="shared" si="15"/>
        <v>0.5</v>
      </c>
      <c r="I85" s="22">
        <f t="shared" si="15"/>
        <v>0.4</v>
      </c>
      <c r="J85" s="22">
        <f t="shared" si="15"/>
        <v>0.33</v>
      </c>
      <c r="K85" s="22">
        <f t="shared" si="15"/>
        <v>0.2</v>
      </c>
    </row>
    <row r="86" spans="1:11" x14ac:dyDescent="0.25">
      <c r="A86" s="24">
        <v>1</v>
      </c>
      <c r="B86" s="25"/>
      <c r="C86" s="22">
        <f t="shared" ref="C86:K86" si="16">C21/2</f>
        <v>0.9</v>
      </c>
      <c r="D86" s="22">
        <f t="shared" si="16"/>
        <v>0.8</v>
      </c>
      <c r="E86" s="22">
        <f t="shared" si="16"/>
        <v>0.7</v>
      </c>
      <c r="F86" s="22">
        <f t="shared" si="16"/>
        <v>0.6</v>
      </c>
      <c r="G86" s="22">
        <f t="shared" si="16"/>
        <v>0.5</v>
      </c>
      <c r="H86" s="22">
        <f t="shared" si="16"/>
        <v>0.45</v>
      </c>
      <c r="I86" s="22">
        <f t="shared" si="16"/>
        <v>0.4</v>
      </c>
      <c r="J86" s="22">
        <f t="shared" si="16"/>
        <v>0.3</v>
      </c>
      <c r="K86" s="22">
        <f t="shared" si="16"/>
        <v>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</vt:lpstr>
      <vt:lpstr>ALFA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Windows 11</cp:lastModifiedBy>
  <dcterms:created xsi:type="dcterms:W3CDTF">2021-08-25T23:41:03Z</dcterms:created>
  <dcterms:modified xsi:type="dcterms:W3CDTF">2026-04-17T19:19:12Z</dcterms:modified>
</cp:coreProperties>
</file>